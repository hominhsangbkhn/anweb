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tables/table13.xml" ContentType="application/vnd.openxmlformats-officedocument.spreadsheetml.table+xml"/>
  <Override PartName="/xl/queryTables/queryTable2.xml" ContentType="application/vnd.openxmlformats-officedocument.spreadsheetml.queryTable+xml"/>
  <Override PartName="/xl/tables/table14.xml" ContentType="application/vnd.openxmlformats-officedocument.spreadsheetml.table+xml"/>
  <Override PartName="/xl/queryTables/queryTable3.xml" ContentType="application/vnd.openxmlformats-officedocument.spreadsheetml.queryTable+xml"/>
  <Override PartName="/xl/tables/table15.xml" ContentType="application/vnd.openxmlformats-officedocument.spreadsheetml.table+xml"/>
  <Override PartName="/xl/queryTables/queryTable4.xml" ContentType="application/vnd.openxmlformats-officedocument.spreadsheetml.queryTable+xml"/>
  <Override PartName="/xl/tables/table16.xml" ContentType="application/vnd.openxmlformats-officedocument.spreadsheetml.table+xml"/>
  <Override PartName="/xl/queryTables/queryTable5.xml" ContentType="application/vnd.openxmlformats-officedocument.spreadsheetml.queryTable+xml"/>
  <Override PartName="/xl/tables/table17.xml" ContentType="application/vnd.openxmlformats-officedocument.spreadsheetml.table+xml"/>
  <Override PartName="/xl/queryTables/queryTable6.xml" ContentType="application/vnd.openxmlformats-officedocument.spreadsheetml.queryTable+xml"/>
  <Override PartName="/xl/tables/table18.xml" ContentType="application/vnd.openxmlformats-officedocument.spreadsheetml.table+xml"/>
  <Override PartName="/xl/queryTables/queryTable7.xml" ContentType="application/vnd.openxmlformats-officedocument.spreadsheetml.queryTable+xml"/>
  <Override PartName="/xl/tables/table19.xml" ContentType="application/vnd.openxmlformats-officedocument.spreadsheetml.table+xml"/>
  <Override PartName="/xl/queryTables/queryTable8.xml" ContentType="application/vnd.openxmlformats-officedocument.spreadsheetml.queryTable+xml"/>
  <Override PartName="/xl/tables/table20.xml" ContentType="application/vnd.openxmlformats-officedocument.spreadsheetml.table+xml"/>
  <Override PartName="/xl/queryTables/queryTable9.xml" ContentType="application/vnd.openxmlformats-officedocument.spreadsheetml.queryTable+xml"/>
  <Override PartName="/xl/tables/table21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Frontend\Anweb\"/>
    </mc:Choice>
  </mc:AlternateContent>
  <xr:revisionPtr revIDLastSave="0" documentId="8_{E151ED6A-EEB3-4889-BD76-347FA12FAC2F}" xr6:coauthVersionLast="47" xr6:coauthVersionMax="47" xr10:uidLastSave="{00000000-0000-0000-0000-000000000000}"/>
  <bookViews>
    <workbookView xWindow="-28920" yWindow="-120" windowWidth="29040" windowHeight="15720" firstSheet="1" activeTab="9" xr2:uid="{00000000-000D-0000-FFFF-FFFF00000000}"/>
  </bookViews>
  <sheets>
    <sheet name="18" sheetId="1" r:id="rId1"/>
    <sheet name="19" sheetId="2" r:id="rId2"/>
    <sheet name="20" sheetId="3" r:id="rId3"/>
    <sheet name="21" sheetId="4" r:id="rId4"/>
    <sheet name="22" sheetId="5" r:id="rId5"/>
    <sheet name="23" sheetId="6" r:id="rId6"/>
    <sheet name="24" sheetId="7" r:id="rId7"/>
    <sheet name="Summary" sheetId="74" r:id="rId8"/>
    <sheet name="Total" sheetId="75" r:id="rId9"/>
    <sheet name="Final" sheetId="77" r:id="rId10"/>
    <sheet name="Scrores" sheetId="78" r:id="rId11"/>
    <sheet name="DSTG" sheetId="48" state="hidden" r:id="rId12"/>
    <sheet name="DSTM" sheetId="49" state="hidden" r:id="rId13"/>
    <sheet name="Merge18" sheetId="57" state="hidden" r:id="rId14"/>
    <sheet name="Merge19" sheetId="66" state="hidden" r:id="rId15"/>
    <sheet name="Merge20" sheetId="68" state="hidden" r:id="rId16"/>
    <sheet name="Merge21" sheetId="69" state="hidden" r:id="rId17"/>
    <sheet name="Merge22" sheetId="70" state="hidden" r:id="rId18"/>
    <sheet name="Merge23" sheetId="72" state="hidden" r:id="rId19"/>
    <sheet name="Merge24" sheetId="73" state="hidden" r:id="rId20"/>
    <sheet name="TableScrores" sheetId="80" r:id="rId21"/>
    <sheet name="TableFinal" sheetId="83" r:id="rId22"/>
    <sheet name="Result" sheetId="84" r:id="rId23"/>
  </sheets>
  <definedNames>
    <definedName name="_xlnm._FilterDatabase" localSheetId="0" hidden="1">'18'!$A$5:$J$6</definedName>
    <definedName name="_xlnm._FilterDatabase" localSheetId="3" hidden="1">'21'!$S$1:$S$33</definedName>
    <definedName name="_xlnm._FilterDatabase" localSheetId="10" hidden="1">Scrores!$E$1:$R$1</definedName>
    <definedName name="ExternalData_1" localSheetId="13" hidden="1">Merge18!$A$1:$U$22</definedName>
    <definedName name="ExternalData_1" localSheetId="14" hidden="1">Merge19!$A$1:$U$22</definedName>
    <definedName name="ExternalData_1" localSheetId="18" hidden="1">Merge23!$A$1:$U$23</definedName>
    <definedName name="ExternalData_1" localSheetId="22" hidden="1">Result!$A$1:$Z$141</definedName>
    <definedName name="ExternalData_1" localSheetId="21" hidden="1">TableFinal!$A$1:$U$141</definedName>
    <definedName name="ExternalData_1" localSheetId="20" hidden="1">TableScrores!$A$1:$N$59</definedName>
    <definedName name="ExternalData_2" localSheetId="15" hidden="1">Merge20!$A$1:$U$21</definedName>
    <definedName name="ExternalData_2" localSheetId="19" hidden="1">Merge24!$A$1:$U$21</definedName>
    <definedName name="ExternalData_3" localSheetId="16" hidden="1">Merge21!$A$1:$U$22</definedName>
    <definedName name="ExternalData_4" localSheetId="17" hidden="1">Merge22!$A$1:$U$22</definedName>
    <definedName name="_xlnm.Print_Area" localSheetId="0">'18'!$A$1:$R$34</definedName>
    <definedName name="_xlnm.Print_Area" localSheetId="1">'19'!$A$1:$R$35</definedName>
    <definedName name="_xlnm.Print_Area" localSheetId="2">'20'!$A$1:$R$35</definedName>
    <definedName name="_xlnm.Print_Area" localSheetId="3">'21'!$A$1:$S$34</definedName>
    <definedName name="_xlnm.Print_Area" localSheetId="4">'22'!$A$1:$R$35</definedName>
    <definedName name="_xlnm.Print_Area" localSheetId="5">'23'!$A$1:$R$35</definedName>
    <definedName name="_xlnm.Print_Area" localSheetId="6">'24'!$A$1:$R$35</definedName>
  </definedNames>
  <calcPr calcId="181029"/>
</workbook>
</file>

<file path=xl/calcChain.xml><?xml version="1.0" encoding="utf-8"?>
<calcChain xmlns="http://schemas.openxmlformats.org/spreadsheetml/2006/main">
  <c r="O7" i="77" l="1"/>
  <c r="O8" i="77"/>
  <c r="O9" i="77"/>
  <c r="O10" i="77"/>
  <c r="O11" i="77"/>
  <c r="O12" i="77"/>
  <c r="O13" i="77"/>
  <c r="O14" i="77"/>
  <c r="O15" i="77"/>
  <c r="O16" i="77"/>
  <c r="O17" i="77"/>
  <c r="O18" i="77"/>
  <c r="O19" i="77"/>
  <c r="O20" i="77"/>
  <c r="O21" i="77"/>
  <c r="O22" i="77"/>
  <c r="O23" i="77"/>
  <c r="O24" i="77"/>
  <c r="O25" i="77"/>
  <c r="O26" i="77"/>
  <c r="O27" i="77"/>
  <c r="O28" i="77"/>
  <c r="O29" i="77"/>
  <c r="O30" i="77"/>
  <c r="O31" i="77"/>
  <c r="O32" i="77"/>
  <c r="O33" i="77"/>
  <c r="O34" i="77"/>
  <c r="O35" i="77"/>
  <c r="O36" i="77"/>
  <c r="O37" i="77"/>
  <c r="O38" i="77"/>
  <c r="O39" i="77"/>
  <c r="O40" i="77"/>
  <c r="O41" i="77"/>
  <c r="O42" i="77"/>
  <c r="O43" i="77"/>
  <c r="O44" i="77"/>
  <c r="O45" i="77"/>
  <c r="O46" i="77"/>
  <c r="O47" i="77"/>
  <c r="O48" i="77"/>
  <c r="O49" i="77"/>
  <c r="O50" i="77"/>
  <c r="O51" i="77"/>
  <c r="O52" i="77"/>
  <c r="O53" i="77"/>
  <c r="O54" i="77"/>
  <c r="O55" i="77"/>
  <c r="O56" i="77"/>
  <c r="O57" i="77"/>
  <c r="O58" i="77"/>
  <c r="O59" i="77"/>
  <c r="O60" i="77"/>
  <c r="O61" i="77"/>
  <c r="O62" i="77"/>
  <c r="O63" i="77"/>
  <c r="O64" i="77"/>
  <c r="O65" i="77"/>
  <c r="O66" i="77"/>
  <c r="O67" i="77"/>
  <c r="O68" i="77"/>
  <c r="O69" i="77"/>
  <c r="O70" i="77"/>
  <c r="O71" i="77"/>
  <c r="O72" i="77"/>
  <c r="O73" i="77"/>
  <c r="O74" i="77"/>
  <c r="O75" i="77"/>
  <c r="O76" i="77"/>
  <c r="O77" i="77"/>
  <c r="O78" i="77"/>
  <c r="O79" i="77"/>
  <c r="O80" i="77"/>
  <c r="O81" i="77"/>
  <c r="O82" i="77"/>
  <c r="O83" i="77"/>
  <c r="O84" i="77"/>
  <c r="O85" i="77"/>
  <c r="O86" i="77"/>
  <c r="O87" i="77"/>
  <c r="O88" i="77"/>
  <c r="O89" i="77"/>
  <c r="O90" i="77"/>
  <c r="O91" i="77"/>
  <c r="O92" i="77"/>
  <c r="O93" i="77"/>
  <c r="O94" i="77"/>
  <c r="O95" i="77"/>
  <c r="O96" i="77"/>
  <c r="O97" i="77"/>
  <c r="O98" i="77"/>
  <c r="O99" i="77"/>
  <c r="O100" i="77"/>
  <c r="O101" i="77"/>
  <c r="O102" i="77"/>
  <c r="O103" i="77"/>
  <c r="O104" i="77"/>
  <c r="O105" i="77"/>
  <c r="O106" i="77"/>
  <c r="O107" i="77"/>
  <c r="O108" i="77"/>
  <c r="O109" i="77"/>
  <c r="O110" i="77"/>
  <c r="O111" i="77"/>
  <c r="O112" i="77"/>
  <c r="O113" i="77"/>
  <c r="O114" i="77"/>
  <c r="O115" i="77"/>
  <c r="O116" i="77"/>
  <c r="O117" i="77"/>
  <c r="O118" i="77"/>
  <c r="O119" i="77"/>
  <c r="O120" i="77"/>
  <c r="O121" i="77"/>
  <c r="O122" i="77"/>
  <c r="O123" i="77"/>
  <c r="O124" i="77"/>
  <c r="O125" i="77"/>
  <c r="O126" i="77"/>
  <c r="O127" i="77"/>
  <c r="O128" i="77"/>
  <c r="O129" i="77"/>
  <c r="O130" i="77"/>
  <c r="O131" i="77"/>
  <c r="O132" i="77"/>
  <c r="O133" i="77"/>
  <c r="O134" i="77"/>
  <c r="O135" i="77"/>
  <c r="O136" i="77"/>
  <c r="O137" i="77"/>
  <c r="O138" i="77"/>
  <c r="O139" i="77"/>
  <c r="O140" i="77"/>
  <c r="O141" i="77"/>
  <c r="O142" i="77"/>
  <c r="O143" i="77"/>
  <c r="O144" i="77"/>
  <c r="O145" i="77"/>
  <c r="O146" i="77"/>
  <c r="R7" i="77"/>
  <c r="R8" i="77"/>
  <c r="R9" i="77"/>
  <c r="R10" i="77"/>
  <c r="R11" i="77"/>
  <c r="R12" i="77"/>
  <c r="R13" i="77"/>
  <c r="R14" i="77"/>
  <c r="R15" i="77"/>
  <c r="R16" i="77"/>
  <c r="R17" i="77"/>
  <c r="R18" i="77"/>
  <c r="R19" i="77"/>
  <c r="R20" i="77"/>
  <c r="R21" i="77"/>
  <c r="R22" i="77"/>
  <c r="R23" i="77"/>
  <c r="R24" i="77"/>
  <c r="R25" i="77"/>
  <c r="R26" i="77"/>
  <c r="R27" i="77"/>
  <c r="R28" i="77"/>
  <c r="R29" i="77"/>
  <c r="R30" i="77"/>
  <c r="R31" i="77"/>
  <c r="R32" i="77"/>
  <c r="R33" i="77"/>
  <c r="R34" i="77"/>
  <c r="R35" i="77"/>
  <c r="R36" i="77"/>
  <c r="R37" i="77"/>
  <c r="R38" i="77"/>
  <c r="R39" i="77"/>
  <c r="R40" i="77"/>
  <c r="R41" i="77"/>
  <c r="R42" i="77"/>
  <c r="R43" i="77"/>
  <c r="R44" i="77"/>
  <c r="R45" i="77"/>
  <c r="R46" i="77"/>
  <c r="R47" i="77"/>
  <c r="R48" i="77"/>
  <c r="R49" i="77"/>
  <c r="R50" i="77"/>
  <c r="R51" i="77"/>
  <c r="R52" i="77"/>
  <c r="R53" i="77"/>
  <c r="R54" i="77"/>
  <c r="R55" i="77"/>
  <c r="R56" i="77"/>
  <c r="R57" i="77"/>
  <c r="R58" i="77"/>
  <c r="R59" i="77"/>
  <c r="R60" i="77"/>
  <c r="R61" i="77"/>
  <c r="R62" i="77"/>
  <c r="R63" i="77"/>
  <c r="R64" i="77"/>
  <c r="R65" i="77"/>
  <c r="R66" i="77"/>
  <c r="R67" i="77"/>
  <c r="R68" i="77"/>
  <c r="R69" i="77"/>
  <c r="R70" i="77"/>
  <c r="R71" i="77"/>
  <c r="R72" i="77"/>
  <c r="R73" i="77"/>
  <c r="R74" i="77"/>
  <c r="R75" i="77"/>
  <c r="R76" i="77"/>
  <c r="R77" i="77"/>
  <c r="R78" i="77"/>
  <c r="R79" i="77"/>
  <c r="R80" i="77"/>
  <c r="R81" i="77"/>
  <c r="R82" i="77"/>
  <c r="R83" i="77"/>
  <c r="R84" i="77"/>
  <c r="R85" i="77"/>
  <c r="R86" i="77"/>
  <c r="R87" i="77"/>
  <c r="R88" i="77"/>
  <c r="R89" i="77"/>
  <c r="R90" i="77"/>
  <c r="R91" i="77"/>
  <c r="R92" i="77"/>
  <c r="R93" i="77"/>
  <c r="R94" i="77"/>
  <c r="R95" i="77"/>
  <c r="R96" i="77"/>
  <c r="R97" i="77"/>
  <c r="R98" i="77"/>
  <c r="R99" i="77"/>
  <c r="R100" i="77"/>
  <c r="R101" i="77"/>
  <c r="R102" i="77"/>
  <c r="R103" i="77"/>
  <c r="R104" i="77"/>
  <c r="R105" i="77"/>
  <c r="R106" i="77"/>
  <c r="R107" i="77"/>
  <c r="R108" i="77"/>
  <c r="R109" i="77"/>
  <c r="R110" i="77"/>
  <c r="R111" i="77"/>
  <c r="R112" i="77"/>
  <c r="R113" i="77"/>
  <c r="R114" i="77"/>
  <c r="R115" i="77"/>
  <c r="R116" i="77"/>
  <c r="R117" i="77"/>
  <c r="R118" i="77"/>
  <c r="R119" i="77"/>
  <c r="R120" i="77"/>
  <c r="R121" i="77"/>
  <c r="R122" i="77"/>
  <c r="R123" i="77"/>
  <c r="R124" i="77"/>
  <c r="R125" i="77"/>
  <c r="R126" i="77"/>
  <c r="R127" i="77"/>
  <c r="R128" i="77"/>
  <c r="R129" i="77"/>
  <c r="R130" i="77"/>
  <c r="R131" i="77"/>
  <c r="R132" i="77"/>
  <c r="R133" i="77"/>
  <c r="R134" i="77"/>
  <c r="R135" i="77"/>
  <c r="R136" i="77"/>
  <c r="R137" i="77"/>
  <c r="R138" i="77"/>
  <c r="R139" i="77"/>
  <c r="R140" i="77"/>
  <c r="R141" i="77"/>
  <c r="R142" i="77"/>
  <c r="R143" i="77"/>
  <c r="R144" i="77"/>
  <c r="R145" i="77"/>
  <c r="R146" i="77"/>
  <c r="Q7" i="77"/>
  <c r="Q8" i="77"/>
  <c r="Q9" i="77"/>
  <c r="Q10" i="77"/>
  <c r="Q11" i="77"/>
  <c r="Q12" i="77"/>
  <c r="Q13" i="77"/>
  <c r="Q14" i="77"/>
  <c r="Q15" i="77"/>
  <c r="Q16" i="77"/>
  <c r="Q17" i="77"/>
  <c r="Q18" i="77"/>
  <c r="Q19" i="77"/>
  <c r="Q20" i="77"/>
  <c r="Q21" i="77"/>
  <c r="Q22" i="77"/>
  <c r="Q23" i="77"/>
  <c r="Q24" i="77"/>
  <c r="Q25" i="77"/>
  <c r="Q26" i="77"/>
  <c r="Q27" i="77"/>
  <c r="Q28" i="77"/>
  <c r="Q29" i="77"/>
  <c r="Q30" i="77"/>
  <c r="Q31" i="77"/>
  <c r="Q32" i="77"/>
  <c r="Q33" i="77"/>
  <c r="Q34" i="77"/>
  <c r="Q35" i="77"/>
  <c r="Q36" i="77"/>
  <c r="Q37" i="77"/>
  <c r="Q38" i="77"/>
  <c r="Q39" i="77"/>
  <c r="Q40" i="77"/>
  <c r="Q41" i="77"/>
  <c r="Q42" i="77"/>
  <c r="Q43" i="77"/>
  <c r="Q44" i="77"/>
  <c r="Q45" i="77"/>
  <c r="Q46" i="77"/>
  <c r="Q47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4" i="77"/>
  <c r="Q65" i="77"/>
  <c r="Q66" i="77"/>
  <c r="Q67" i="77"/>
  <c r="Q68" i="77"/>
  <c r="Q69" i="77"/>
  <c r="Q70" i="77"/>
  <c r="Q71" i="77"/>
  <c r="Q72" i="77"/>
  <c r="Q73" i="77"/>
  <c r="Q74" i="77"/>
  <c r="Q75" i="77"/>
  <c r="Q76" i="77"/>
  <c r="Q77" i="77"/>
  <c r="Q78" i="77"/>
  <c r="Q79" i="77"/>
  <c r="Q80" i="77"/>
  <c r="Q81" i="77"/>
  <c r="Q82" i="77"/>
  <c r="Q83" i="77"/>
  <c r="Q84" i="77"/>
  <c r="Q85" i="77"/>
  <c r="Q86" i="77"/>
  <c r="Q87" i="77"/>
  <c r="Q88" i="77"/>
  <c r="Q89" i="77"/>
  <c r="Q90" i="77"/>
  <c r="Q91" i="77"/>
  <c r="Q92" i="77"/>
  <c r="Q93" i="77"/>
  <c r="Q94" i="77"/>
  <c r="Q95" i="77"/>
  <c r="Q96" i="77"/>
  <c r="Q97" i="77"/>
  <c r="Q98" i="77"/>
  <c r="Q99" i="77"/>
  <c r="Q100" i="77"/>
  <c r="Q101" i="77"/>
  <c r="Q102" i="77"/>
  <c r="Q103" i="77"/>
  <c r="Q104" i="77"/>
  <c r="Q105" i="77"/>
  <c r="Q106" i="77"/>
  <c r="Q107" i="77"/>
  <c r="Q108" i="77"/>
  <c r="Q109" i="77"/>
  <c r="Q110" i="77"/>
  <c r="Q111" i="77"/>
  <c r="Q112" i="77"/>
  <c r="Q113" i="77"/>
  <c r="Q114" i="77"/>
  <c r="Q115" i="77"/>
  <c r="Q116" i="77"/>
  <c r="Q117" i="77"/>
  <c r="Q118" i="77"/>
  <c r="Q119" i="77"/>
  <c r="Q120" i="77"/>
  <c r="Q121" i="77"/>
  <c r="Q122" i="77"/>
  <c r="Q123" i="77"/>
  <c r="Q124" i="77"/>
  <c r="Q125" i="77"/>
  <c r="Q126" i="77"/>
  <c r="Q127" i="77"/>
  <c r="Q128" i="77"/>
  <c r="Q129" i="77"/>
  <c r="Q130" i="77"/>
  <c r="Q131" i="77"/>
  <c r="Q132" i="77"/>
  <c r="Q133" i="77"/>
  <c r="Q134" i="77"/>
  <c r="Q135" i="77"/>
  <c r="Q136" i="77"/>
  <c r="Q137" i="77"/>
  <c r="Q138" i="77"/>
  <c r="Q139" i="77"/>
  <c r="Q140" i="77"/>
  <c r="Q141" i="77"/>
  <c r="Q142" i="77"/>
  <c r="Q143" i="77"/>
  <c r="Q144" i="77"/>
  <c r="Q145" i="77"/>
  <c r="Q14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1" i="77"/>
  <c r="P42" i="77"/>
  <c r="P43" i="77"/>
  <c r="P44" i="77"/>
  <c r="P45" i="77"/>
  <c r="P46" i="77"/>
  <c r="P47" i="77"/>
  <c r="P48" i="77"/>
  <c r="P49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7" i="77"/>
  <c r="P88" i="77"/>
  <c r="P89" i="77"/>
  <c r="P90" i="77"/>
  <c r="P91" i="77"/>
  <c r="P92" i="77"/>
  <c r="P93" i="77"/>
  <c r="P94" i="77"/>
  <c r="P95" i="77"/>
  <c r="P96" i="77"/>
  <c r="P97" i="77"/>
  <c r="P98" i="77"/>
  <c r="P99" i="77"/>
  <c r="P100" i="77"/>
  <c r="P101" i="77"/>
  <c r="P102" i="77"/>
  <c r="P103" i="77"/>
  <c r="P104" i="77"/>
  <c r="P105" i="77"/>
  <c r="P106" i="77"/>
  <c r="P107" i="77"/>
  <c r="P108" i="77"/>
  <c r="P109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6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39" i="77"/>
  <c r="P140" i="77"/>
  <c r="P141" i="77"/>
  <c r="P142" i="77"/>
  <c r="P143" i="77"/>
  <c r="P144" i="77"/>
  <c r="P145" i="77"/>
  <c r="P146" i="77"/>
  <c r="N7" i="77"/>
  <c r="N8" i="77"/>
  <c r="N9" i="77"/>
  <c r="N10" i="77"/>
  <c r="N11" i="77"/>
  <c r="N12" i="77"/>
  <c r="N13" i="77"/>
  <c r="N14" i="77"/>
  <c r="N15" i="77"/>
  <c r="N16" i="77"/>
  <c r="N17" i="77"/>
  <c r="N18" i="77"/>
  <c r="N19" i="77"/>
  <c r="N20" i="77"/>
  <c r="N21" i="77"/>
  <c r="N22" i="77"/>
  <c r="N23" i="77"/>
  <c r="N24" i="77"/>
  <c r="N25" i="77"/>
  <c r="N26" i="77"/>
  <c r="N27" i="77"/>
  <c r="N28" i="77"/>
  <c r="N29" i="77"/>
  <c r="N30" i="77"/>
  <c r="N31" i="77"/>
  <c r="N32" i="77"/>
  <c r="N33" i="77"/>
  <c r="N34" i="77"/>
  <c r="N35" i="77"/>
  <c r="N36" i="77"/>
  <c r="N37" i="77"/>
  <c r="N38" i="77"/>
  <c r="N39" i="77"/>
  <c r="N40" i="77"/>
  <c r="N41" i="77"/>
  <c r="N42" i="77"/>
  <c r="N43" i="77"/>
  <c r="N44" i="77"/>
  <c r="N45" i="77"/>
  <c r="N46" i="77"/>
  <c r="N47" i="77"/>
  <c r="N48" i="77"/>
  <c r="N49" i="77"/>
  <c r="N50" i="77"/>
  <c r="N51" i="77"/>
  <c r="N52" i="77"/>
  <c r="N53" i="77"/>
  <c r="N54" i="77"/>
  <c r="N55" i="77"/>
  <c r="N56" i="77"/>
  <c r="N57" i="77"/>
  <c r="N58" i="77"/>
  <c r="N59" i="77"/>
  <c r="N60" i="77"/>
  <c r="N61" i="77"/>
  <c r="N62" i="77"/>
  <c r="N63" i="77"/>
  <c r="N64" i="77"/>
  <c r="N65" i="77"/>
  <c r="N66" i="77"/>
  <c r="N67" i="77"/>
  <c r="N68" i="77"/>
  <c r="N69" i="77"/>
  <c r="N70" i="77"/>
  <c r="N71" i="77"/>
  <c r="N72" i="77"/>
  <c r="N73" i="77"/>
  <c r="N74" i="77"/>
  <c r="N75" i="77"/>
  <c r="N76" i="77"/>
  <c r="N77" i="77"/>
  <c r="N78" i="77"/>
  <c r="N79" i="77"/>
  <c r="N80" i="77"/>
  <c r="N81" i="77"/>
  <c r="N82" i="77"/>
  <c r="N83" i="77"/>
  <c r="N84" i="77"/>
  <c r="N85" i="77"/>
  <c r="N86" i="77"/>
  <c r="N87" i="77"/>
  <c r="N88" i="77"/>
  <c r="N89" i="77"/>
  <c r="N90" i="77"/>
  <c r="N91" i="77"/>
  <c r="N92" i="77"/>
  <c r="N93" i="77"/>
  <c r="N94" i="77"/>
  <c r="N95" i="77"/>
  <c r="N96" i="77"/>
  <c r="N97" i="77"/>
  <c r="N98" i="77"/>
  <c r="N99" i="77"/>
  <c r="N100" i="77"/>
  <c r="N101" i="77"/>
  <c r="N102" i="77"/>
  <c r="N103" i="77"/>
  <c r="N104" i="77"/>
  <c r="N105" i="77"/>
  <c r="N106" i="77"/>
  <c r="N107" i="77"/>
  <c r="N108" i="77"/>
  <c r="N109" i="77"/>
  <c r="N110" i="77"/>
  <c r="N111" i="77"/>
  <c r="N112" i="77"/>
  <c r="N113" i="77"/>
  <c r="N114" i="77"/>
  <c r="N115" i="77"/>
  <c r="N116" i="77"/>
  <c r="N117" i="77"/>
  <c r="N118" i="77"/>
  <c r="N119" i="77"/>
  <c r="N120" i="77"/>
  <c r="N121" i="77"/>
  <c r="N122" i="77"/>
  <c r="N123" i="77"/>
  <c r="N124" i="77"/>
  <c r="N125" i="77"/>
  <c r="N126" i="77"/>
  <c r="N127" i="77"/>
  <c r="N128" i="77"/>
  <c r="N129" i="77"/>
  <c r="N130" i="77"/>
  <c r="N131" i="77"/>
  <c r="N132" i="77"/>
  <c r="N133" i="77"/>
  <c r="N134" i="77"/>
  <c r="N135" i="77"/>
  <c r="N136" i="77"/>
  <c r="N137" i="77"/>
  <c r="N138" i="77"/>
  <c r="N139" i="77"/>
  <c r="N140" i="77"/>
  <c r="N141" i="77"/>
  <c r="N142" i="77"/>
  <c r="N143" i="77"/>
  <c r="N144" i="77"/>
  <c r="N145" i="77"/>
  <c r="N146" i="77"/>
  <c r="L8" i="77"/>
  <c r="L9" i="77"/>
  <c r="L10" i="77"/>
  <c r="L11" i="77"/>
  <c r="L12" i="77"/>
  <c r="L13" i="77"/>
  <c r="L14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29" i="77"/>
  <c r="L30" i="77"/>
  <c r="L31" i="77"/>
  <c r="L32" i="77"/>
  <c r="L33" i="77"/>
  <c r="L34" i="77"/>
  <c r="L35" i="77"/>
  <c r="L36" i="77"/>
  <c r="L37" i="77"/>
  <c r="L38" i="77"/>
  <c r="L39" i="77"/>
  <c r="L40" i="77"/>
  <c r="L41" i="77"/>
  <c r="L42" i="77"/>
  <c r="L43" i="77"/>
  <c r="L44" i="77"/>
  <c r="L45" i="77"/>
  <c r="L46" i="77"/>
  <c r="L47" i="77"/>
  <c r="L48" i="77"/>
  <c r="L49" i="77"/>
  <c r="L50" i="77"/>
  <c r="L51" i="77"/>
  <c r="L52" i="77"/>
  <c r="L53" i="77"/>
  <c r="L54" i="77"/>
  <c r="L55" i="77"/>
  <c r="L56" i="77"/>
  <c r="L57" i="77"/>
  <c r="L58" i="77"/>
  <c r="L59" i="77"/>
  <c r="L60" i="77"/>
  <c r="L61" i="77"/>
  <c r="L62" i="77"/>
  <c r="L63" i="77"/>
  <c r="L64" i="77"/>
  <c r="L65" i="77"/>
  <c r="L66" i="77"/>
  <c r="L67" i="77"/>
  <c r="L68" i="77"/>
  <c r="L69" i="77"/>
  <c r="L70" i="77"/>
  <c r="L71" i="77"/>
  <c r="L72" i="77"/>
  <c r="L73" i="77"/>
  <c r="L74" i="77"/>
  <c r="L75" i="77"/>
  <c r="L76" i="77"/>
  <c r="L77" i="77"/>
  <c r="L78" i="77"/>
  <c r="L79" i="77"/>
  <c r="L80" i="77"/>
  <c r="L81" i="77"/>
  <c r="L82" i="77"/>
  <c r="L83" i="77"/>
  <c r="L84" i="77"/>
  <c r="L85" i="77"/>
  <c r="L86" i="77"/>
  <c r="L87" i="77"/>
  <c r="L88" i="77"/>
  <c r="L89" i="77"/>
  <c r="L90" i="77"/>
  <c r="L91" i="77"/>
  <c r="L92" i="77"/>
  <c r="L93" i="77"/>
  <c r="L94" i="77"/>
  <c r="L95" i="77"/>
  <c r="L96" i="77"/>
  <c r="L97" i="77"/>
  <c r="L98" i="77"/>
  <c r="L99" i="77"/>
  <c r="L100" i="77"/>
  <c r="L101" i="77"/>
  <c r="L102" i="77"/>
  <c r="L103" i="77"/>
  <c r="L104" i="77"/>
  <c r="L105" i="77"/>
  <c r="L106" i="77"/>
  <c r="L107" i="77"/>
  <c r="L108" i="77"/>
  <c r="L109" i="77"/>
  <c r="L110" i="77"/>
  <c r="L111" i="77"/>
  <c r="L112" i="77"/>
  <c r="L113" i="77"/>
  <c r="L114" i="77"/>
  <c r="L115" i="77"/>
  <c r="L116" i="77"/>
  <c r="L117" i="77"/>
  <c r="L118" i="77"/>
  <c r="L119" i="77"/>
  <c r="L120" i="77"/>
  <c r="L121" i="77"/>
  <c r="L122" i="77"/>
  <c r="L123" i="77"/>
  <c r="L124" i="77"/>
  <c r="L125" i="77"/>
  <c r="L126" i="77"/>
  <c r="L127" i="77"/>
  <c r="L128" i="77"/>
  <c r="L129" i="77"/>
  <c r="L130" i="77"/>
  <c r="L131" i="77"/>
  <c r="L132" i="77"/>
  <c r="L133" i="77"/>
  <c r="L134" i="77"/>
  <c r="L135" i="77"/>
  <c r="L136" i="77"/>
  <c r="L137" i="77"/>
  <c r="L138" i="77"/>
  <c r="L139" i="77"/>
  <c r="L140" i="77"/>
  <c r="L141" i="77"/>
  <c r="L142" i="77"/>
  <c r="L143" i="77"/>
  <c r="L144" i="77"/>
  <c r="L145" i="77"/>
  <c r="L146" i="77"/>
  <c r="L7" i="77"/>
  <c r="J7" i="74"/>
  <c r="J8" i="74"/>
  <c r="J9" i="74"/>
  <c r="J10" i="74"/>
  <c r="J11" i="74"/>
  <c r="J12" i="74"/>
  <c r="J13" i="74"/>
  <c r="J14" i="74"/>
  <c r="J15" i="74"/>
  <c r="J16" i="74"/>
  <c r="J17" i="74"/>
  <c r="J18" i="74"/>
  <c r="J19" i="74"/>
  <c r="J20" i="74"/>
  <c r="J21" i="74"/>
  <c r="J22" i="74"/>
  <c r="J23" i="74"/>
  <c r="J24" i="74"/>
  <c r="J25" i="74"/>
  <c r="J26" i="74"/>
  <c r="J27" i="74"/>
  <c r="J28" i="74"/>
  <c r="J29" i="74"/>
  <c r="J30" i="74"/>
  <c r="J31" i="74"/>
  <c r="J32" i="74"/>
  <c r="J33" i="74"/>
  <c r="J34" i="74"/>
  <c r="J35" i="74"/>
  <c r="J36" i="74"/>
  <c r="J37" i="74"/>
  <c r="J38" i="74"/>
  <c r="J39" i="74"/>
  <c r="J40" i="74"/>
  <c r="J41" i="74"/>
  <c r="J42" i="74"/>
  <c r="J43" i="74"/>
  <c r="J44" i="74"/>
  <c r="J45" i="74"/>
  <c r="J46" i="74"/>
  <c r="J47" i="74"/>
  <c r="J48" i="74"/>
  <c r="J49" i="74"/>
  <c r="J50" i="74"/>
  <c r="J51" i="74"/>
  <c r="J52" i="74"/>
  <c r="J53" i="74"/>
  <c r="J54" i="74"/>
  <c r="J55" i="74"/>
  <c r="J56" i="74"/>
  <c r="J57" i="74"/>
  <c r="J58" i="74"/>
  <c r="J59" i="74"/>
  <c r="J60" i="74"/>
  <c r="J61" i="74"/>
  <c r="J62" i="74"/>
  <c r="J63" i="74"/>
  <c r="J64" i="74"/>
  <c r="J65" i="74"/>
  <c r="J66" i="74"/>
  <c r="J67" i="74"/>
  <c r="J68" i="74"/>
  <c r="J69" i="74"/>
  <c r="J70" i="74"/>
  <c r="J71" i="74"/>
  <c r="J72" i="74"/>
  <c r="J73" i="74"/>
  <c r="J74" i="74"/>
  <c r="J75" i="74"/>
  <c r="J76" i="74"/>
  <c r="J77" i="74"/>
  <c r="J78" i="74"/>
  <c r="J79" i="74"/>
  <c r="J80" i="74"/>
  <c r="J81" i="74"/>
  <c r="J82" i="74"/>
  <c r="J83" i="74"/>
  <c r="J84" i="74"/>
  <c r="J85" i="74"/>
  <c r="J86" i="74"/>
  <c r="J87" i="74"/>
  <c r="J88" i="74"/>
  <c r="J89" i="74"/>
  <c r="J90" i="74"/>
  <c r="J91" i="74"/>
  <c r="J92" i="74"/>
  <c r="J93" i="74"/>
  <c r="J94" i="74"/>
  <c r="J95" i="74"/>
  <c r="J96" i="74"/>
  <c r="J97" i="74"/>
  <c r="J98" i="74"/>
  <c r="J99" i="74"/>
  <c r="J100" i="74"/>
  <c r="J101" i="74"/>
  <c r="J102" i="74"/>
  <c r="J103" i="74"/>
  <c r="J104" i="74"/>
  <c r="J105" i="74"/>
  <c r="J106" i="74"/>
  <c r="J107" i="74"/>
  <c r="J108" i="74"/>
  <c r="J109" i="74"/>
  <c r="J110" i="74"/>
  <c r="J111" i="74"/>
  <c r="J112" i="74"/>
  <c r="J113" i="74"/>
  <c r="J114" i="74"/>
  <c r="J115" i="74"/>
  <c r="J116" i="74"/>
  <c r="J117" i="74"/>
  <c r="J118" i="74"/>
  <c r="J119" i="74"/>
  <c r="J120" i="74"/>
  <c r="J121" i="74"/>
  <c r="J122" i="74"/>
  <c r="J123" i="74"/>
  <c r="J124" i="74"/>
  <c r="J125" i="74"/>
  <c r="J126" i="74"/>
  <c r="J127" i="74"/>
  <c r="J128" i="74"/>
  <c r="J129" i="74"/>
  <c r="J130" i="74"/>
  <c r="J131" i="74"/>
  <c r="J132" i="74"/>
  <c r="J133" i="74"/>
  <c r="J134" i="74"/>
  <c r="J135" i="74"/>
  <c r="J136" i="74"/>
  <c r="J137" i="74"/>
  <c r="J138" i="74"/>
  <c r="J139" i="74"/>
  <c r="J140" i="74"/>
  <c r="J141" i="74"/>
  <c r="J142" i="74"/>
  <c r="J143" i="74"/>
  <c r="J144" i="74"/>
  <c r="J145" i="74"/>
  <c r="I7" i="74"/>
  <c r="I8" i="74"/>
  <c r="I9" i="74"/>
  <c r="I10" i="74"/>
  <c r="I11" i="74"/>
  <c r="I12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I25" i="74"/>
  <c r="I26" i="74"/>
  <c r="I27" i="74"/>
  <c r="I28" i="74"/>
  <c r="I29" i="74"/>
  <c r="I30" i="74"/>
  <c r="I31" i="74"/>
  <c r="I32" i="74"/>
  <c r="I33" i="74"/>
  <c r="I34" i="74"/>
  <c r="I35" i="74"/>
  <c r="I36" i="74"/>
  <c r="I37" i="74"/>
  <c r="I38" i="74"/>
  <c r="I39" i="74"/>
  <c r="I40" i="74"/>
  <c r="I41" i="74"/>
  <c r="I42" i="74"/>
  <c r="I43" i="74"/>
  <c r="I44" i="74"/>
  <c r="I45" i="74"/>
  <c r="I46" i="74"/>
  <c r="I47" i="74"/>
  <c r="I48" i="74"/>
  <c r="I49" i="74"/>
  <c r="I50" i="74"/>
  <c r="I51" i="74"/>
  <c r="I52" i="74"/>
  <c r="I53" i="74"/>
  <c r="I54" i="74"/>
  <c r="I55" i="74"/>
  <c r="I56" i="74"/>
  <c r="I57" i="74"/>
  <c r="I58" i="74"/>
  <c r="I59" i="74"/>
  <c r="I60" i="74"/>
  <c r="I61" i="74"/>
  <c r="I62" i="74"/>
  <c r="I63" i="74"/>
  <c r="I64" i="74"/>
  <c r="I65" i="74"/>
  <c r="I66" i="74"/>
  <c r="I67" i="74"/>
  <c r="I68" i="74"/>
  <c r="I69" i="74"/>
  <c r="I70" i="74"/>
  <c r="I71" i="74"/>
  <c r="I72" i="74"/>
  <c r="I73" i="74"/>
  <c r="I74" i="74"/>
  <c r="I75" i="74"/>
  <c r="I76" i="74"/>
  <c r="I77" i="74"/>
  <c r="I78" i="74"/>
  <c r="I79" i="74"/>
  <c r="I80" i="74"/>
  <c r="I81" i="74"/>
  <c r="I82" i="74"/>
  <c r="I83" i="74"/>
  <c r="I84" i="74"/>
  <c r="I85" i="74"/>
  <c r="I86" i="74"/>
  <c r="I87" i="74"/>
  <c r="I88" i="74"/>
  <c r="I89" i="74"/>
  <c r="I90" i="74"/>
  <c r="I91" i="74"/>
  <c r="I92" i="74"/>
  <c r="I93" i="74"/>
  <c r="I94" i="74"/>
  <c r="I95" i="74"/>
  <c r="I96" i="74"/>
  <c r="I97" i="74"/>
  <c r="I98" i="74"/>
  <c r="I99" i="74"/>
  <c r="I100" i="74"/>
  <c r="I101" i="74"/>
  <c r="I102" i="74"/>
  <c r="I103" i="74"/>
  <c r="I104" i="74"/>
  <c r="I105" i="74"/>
  <c r="I106" i="74"/>
  <c r="I107" i="74"/>
  <c r="I108" i="74"/>
  <c r="I109" i="74"/>
  <c r="I110" i="74"/>
  <c r="I111" i="74"/>
  <c r="I112" i="74"/>
  <c r="I113" i="74"/>
  <c r="I114" i="74"/>
  <c r="I115" i="74"/>
  <c r="I116" i="74"/>
  <c r="I117" i="74"/>
  <c r="I118" i="74"/>
  <c r="I119" i="74"/>
  <c r="I120" i="74"/>
  <c r="I121" i="74"/>
  <c r="I122" i="74"/>
  <c r="I123" i="74"/>
  <c r="I124" i="74"/>
  <c r="I125" i="74"/>
  <c r="I126" i="74"/>
  <c r="I127" i="74"/>
  <c r="I128" i="74"/>
  <c r="I129" i="74"/>
  <c r="I130" i="74"/>
  <c r="I131" i="74"/>
  <c r="I132" i="74"/>
  <c r="I133" i="74"/>
  <c r="I134" i="74"/>
  <c r="I135" i="74"/>
  <c r="I136" i="74"/>
  <c r="I137" i="74"/>
  <c r="I138" i="74"/>
  <c r="I139" i="74"/>
  <c r="I140" i="74"/>
  <c r="I141" i="74"/>
  <c r="I142" i="74"/>
  <c r="I143" i="74"/>
  <c r="I144" i="74"/>
  <c r="I145" i="74"/>
  <c r="H7" i="74"/>
  <c r="H8" i="74"/>
  <c r="H9" i="74"/>
  <c r="H10" i="74"/>
  <c r="H11" i="74"/>
  <c r="H12" i="74"/>
  <c r="H13" i="74"/>
  <c r="H14" i="74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G7" i="74"/>
  <c r="G8" i="74"/>
  <c r="G9" i="74"/>
  <c r="G10" i="74"/>
  <c r="G11" i="74"/>
  <c r="G12" i="74"/>
  <c r="G13" i="74"/>
  <c r="G14" i="74"/>
  <c r="G15" i="74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F7" i="74"/>
  <c r="F8" i="74"/>
  <c r="F9" i="74"/>
  <c r="F10" i="74"/>
  <c r="F11" i="74"/>
  <c r="F12" i="74"/>
  <c r="F13" i="74"/>
  <c r="F14" i="74"/>
  <c r="F15" i="74"/>
  <c r="F16" i="74"/>
  <c r="F17" i="74"/>
  <c r="F18" i="74"/>
  <c r="F19" i="74"/>
  <c r="F20" i="74"/>
  <c r="F21" i="74"/>
  <c r="F22" i="74"/>
  <c r="F23" i="74"/>
  <c r="F24" i="74"/>
  <c r="F25" i="74"/>
  <c r="F26" i="74"/>
  <c r="F27" i="74"/>
  <c r="F28" i="74"/>
  <c r="F29" i="74"/>
  <c r="F30" i="74"/>
  <c r="F31" i="74"/>
  <c r="F32" i="74"/>
  <c r="F33" i="74"/>
  <c r="F34" i="74"/>
  <c r="F35" i="74"/>
  <c r="F36" i="74"/>
  <c r="F37" i="74"/>
  <c r="F38" i="74"/>
  <c r="F39" i="74"/>
  <c r="F40" i="74"/>
  <c r="F41" i="74"/>
  <c r="F42" i="74"/>
  <c r="F43" i="74"/>
  <c r="F44" i="74"/>
  <c r="F45" i="74"/>
  <c r="F46" i="74"/>
  <c r="F47" i="74"/>
  <c r="F48" i="74"/>
  <c r="F49" i="74"/>
  <c r="F50" i="74"/>
  <c r="F51" i="74"/>
  <c r="F52" i="74"/>
  <c r="F53" i="74"/>
  <c r="F54" i="74"/>
  <c r="F55" i="74"/>
  <c r="F56" i="74"/>
  <c r="F57" i="74"/>
  <c r="F58" i="74"/>
  <c r="F59" i="74"/>
  <c r="F60" i="74"/>
  <c r="F61" i="74"/>
  <c r="F62" i="74"/>
  <c r="F63" i="74"/>
  <c r="F64" i="74"/>
  <c r="F65" i="74"/>
  <c r="F66" i="74"/>
  <c r="F67" i="74"/>
  <c r="F68" i="74"/>
  <c r="F69" i="74"/>
  <c r="F70" i="74"/>
  <c r="F71" i="74"/>
  <c r="F72" i="74"/>
  <c r="F73" i="74"/>
  <c r="F74" i="74"/>
  <c r="F75" i="74"/>
  <c r="F76" i="74"/>
  <c r="F77" i="74"/>
  <c r="F78" i="74"/>
  <c r="F79" i="74"/>
  <c r="F80" i="74"/>
  <c r="F81" i="74"/>
  <c r="F82" i="74"/>
  <c r="F83" i="74"/>
  <c r="F84" i="74"/>
  <c r="F85" i="74"/>
  <c r="F86" i="74"/>
  <c r="F87" i="74"/>
  <c r="F88" i="74"/>
  <c r="F89" i="74"/>
  <c r="F90" i="74"/>
  <c r="F91" i="74"/>
  <c r="F92" i="74"/>
  <c r="F93" i="74"/>
  <c r="F94" i="74"/>
  <c r="F95" i="74"/>
  <c r="F96" i="74"/>
  <c r="F97" i="74"/>
  <c r="F98" i="74"/>
  <c r="F99" i="74"/>
  <c r="F100" i="74"/>
  <c r="F101" i="74"/>
  <c r="F102" i="74"/>
  <c r="F103" i="74"/>
  <c r="F104" i="74"/>
  <c r="F105" i="74"/>
  <c r="F106" i="74"/>
  <c r="F107" i="74"/>
  <c r="F108" i="74"/>
  <c r="F109" i="74"/>
  <c r="F110" i="74"/>
  <c r="F111" i="74"/>
  <c r="F112" i="74"/>
  <c r="F113" i="74"/>
  <c r="F114" i="74"/>
  <c r="F115" i="74"/>
  <c r="F116" i="74"/>
  <c r="F117" i="74"/>
  <c r="F118" i="74"/>
  <c r="F119" i="74"/>
  <c r="F120" i="74"/>
  <c r="F121" i="74"/>
  <c r="F122" i="74"/>
  <c r="F123" i="74"/>
  <c r="F124" i="74"/>
  <c r="F125" i="74"/>
  <c r="F126" i="74"/>
  <c r="F127" i="74"/>
  <c r="F128" i="74"/>
  <c r="F129" i="74"/>
  <c r="F130" i="74"/>
  <c r="F131" i="74"/>
  <c r="F132" i="74"/>
  <c r="F133" i="74"/>
  <c r="F134" i="74"/>
  <c r="F135" i="74"/>
  <c r="F136" i="74"/>
  <c r="F137" i="74"/>
  <c r="F138" i="74"/>
  <c r="F139" i="74"/>
  <c r="F140" i="74"/>
  <c r="F141" i="74"/>
  <c r="F142" i="74"/>
  <c r="F143" i="74"/>
  <c r="F144" i="74"/>
  <c r="F145" i="74"/>
  <c r="E7" i="74"/>
  <c r="E8" i="74"/>
  <c r="E9" i="74"/>
  <c r="E10" i="74"/>
  <c r="E11" i="74"/>
  <c r="E12" i="74"/>
  <c r="E13" i="74"/>
  <c r="E14" i="74"/>
  <c r="E15" i="74"/>
  <c r="E16" i="74"/>
  <c r="E17" i="74"/>
  <c r="E18" i="74"/>
  <c r="E19" i="74"/>
  <c r="E20" i="74"/>
  <c r="E21" i="74"/>
  <c r="E22" i="74"/>
  <c r="E23" i="74"/>
  <c r="E24" i="74"/>
  <c r="E25" i="74"/>
  <c r="E26" i="74"/>
  <c r="E27" i="74"/>
  <c r="E28" i="74"/>
  <c r="E29" i="74"/>
  <c r="E30" i="74"/>
  <c r="E31" i="74"/>
  <c r="E32" i="74"/>
  <c r="E33" i="74"/>
  <c r="E34" i="74"/>
  <c r="E35" i="74"/>
  <c r="E36" i="74"/>
  <c r="E37" i="74"/>
  <c r="E38" i="74"/>
  <c r="E39" i="74"/>
  <c r="E40" i="74"/>
  <c r="E41" i="74"/>
  <c r="E42" i="74"/>
  <c r="E43" i="74"/>
  <c r="E44" i="74"/>
  <c r="E45" i="74"/>
  <c r="E46" i="74"/>
  <c r="E47" i="74"/>
  <c r="E48" i="74"/>
  <c r="E49" i="74"/>
  <c r="E50" i="74"/>
  <c r="E51" i="74"/>
  <c r="E52" i="74"/>
  <c r="E53" i="74"/>
  <c r="E54" i="74"/>
  <c r="E55" i="74"/>
  <c r="E56" i="74"/>
  <c r="E57" i="74"/>
  <c r="E58" i="74"/>
  <c r="E59" i="74"/>
  <c r="E60" i="74"/>
  <c r="E61" i="74"/>
  <c r="E62" i="74"/>
  <c r="E63" i="74"/>
  <c r="E64" i="74"/>
  <c r="E65" i="74"/>
  <c r="E66" i="74"/>
  <c r="E67" i="74"/>
  <c r="E68" i="74"/>
  <c r="E69" i="74"/>
  <c r="E70" i="74"/>
  <c r="E71" i="74"/>
  <c r="E72" i="74"/>
  <c r="E73" i="74"/>
  <c r="E74" i="74"/>
  <c r="E75" i="74"/>
  <c r="E76" i="74"/>
  <c r="E77" i="74"/>
  <c r="E78" i="74"/>
  <c r="E79" i="74"/>
  <c r="E80" i="74"/>
  <c r="E81" i="74"/>
  <c r="E82" i="74"/>
  <c r="E83" i="74"/>
  <c r="E84" i="74"/>
  <c r="E85" i="74"/>
  <c r="E86" i="74"/>
  <c r="E87" i="74"/>
  <c r="E88" i="74"/>
  <c r="E89" i="74"/>
  <c r="E90" i="74"/>
  <c r="E91" i="74"/>
  <c r="E92" i="74"/>
  <c r="E93" i="74"/>
  <c r="E94" i="74"/>
  <c r="E95" i="74"/>
  <c r="E96" i="74"/>
  <c r="E97" i="74"/>
  <c r="E98" i="74"/>
  <c r="E99" i="74"/>
  <c r="E100" i="74"/>
  <c r="E101" i="74"/>
  <c r="E102" i="74"/>
  <c r="E103" i="74"/>
  <c r="E104" i="74"/>
  <c r="E105" i="74"/>
  <c r="E106" i="74"/>
  <c r="E107" i="74"/>
  <c r="E108" i="74"/>
  <c r="E109" i="74"/>
  <c r="E110" i="74"/>
  <c r="E111" i="74"/>
  <c r="E112" i="74"/>
  <c r="E113" i="74"/>
  <c r="E114" i="74"/>
  <c r="E115" i="74"/>
  <c r="E116" i="74"/>
  <c r="E117" i="74"/>
  <c r="E118" i="74"/>
  <c r="E119" i="74"/>
  <c r="E120" i="74"/>
  <c r="E121" i="74"/>
  <c r="E122" i="74"/>
  <c r="E123" i="74"/>
  <c r="E124" i="74"/>
  <c r="E125" i="74"/>
  <c r="E126" i="74"/>
  <c r="E127" i="74"/>
  <c r="E128" i="74"/>
  <c r="E129" i="74"/>
  <c r="E130" i="74"/>
  <c r="E131" i="74"/>
  <c r="E132" i="74"/>
  <c r="E133" i="74"/>
  <c r="E134" i="74"/>
  <c r="E135" i="74"/>
  <c r="E136" i="74"/>
  <c r="E137" i="74"/>
  <c r="E138" i="74"/>
  <c r="E139" i="74"/>
  <c r="E140" i="74"/>
  <c r="E141" i="74"/>
  <c r="E142" i="74"/>
  <c r="E143" i="74"/>
  <c r="E144" i="74"/>
  <c r="E145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B7" i="74"/>
  <c r="B8" i="74"/>
  <c r="B9" i="74"/>
  <c r="B10" i="74"/>
  <c r="B11" i="74"/>
  <c r="B12" i="74"/>
  <c r="B13" i="74"/>
  <c r="B14" i="74"/>
  <c r="B15" i="74"/>
  <c r="B16" i="74"/>
  <c r="B17" i="74"/>
  <c r="B18" i="74"/>
  <c r="B19" i="74"/>
  <c r="B20" i="74"/>
  <c r="B21" i="74"/>
  <c r="B22" i="74"/>
  <c r="B23" i="74"/>
  <c r="B24" i="74"/>
  <c r="B25" i="74"/>
  <c r="B26" i="74"/>
  <c r="B27" i="74"/>
  <c r="B28" i="74"/>
  <c r="B29" i="74"/>
  <c r="B30" i="74"/>
  <c r="B31" i="74"/>
  <c r="B32" i="74"/>
  <c r="B33" i="74"/>
  <c r="B34" i="74"/>
  <c r="B35" i="74"/>
  <c r="B36" i="74"/>
  <c r="B37" i="74"/>
  <c r="B38" i="74"/>
  <c r="B39" i="74"/>
  <c r="B40" i="74"/>
  <c r="B41" i="74"/>
  <c r="B42" i="74"/>
  <c r="B43" i="74"/>
  <c r="B44" i="74"/>
  <c r="B45" i="74"/>
  <c r="B46" i="74"/>
  <c r="B47" i="74"/>
  <c r="B48" i="74"/>
  <c r="B49" i="74"/>
  <c r="B50" i="74"/>
  <c r="B51" i="74"/>
  <c r="B52" i="74"/>
  <c r="B53" i="74"/>
  <c r="B54" i="74"/>
  <c r="B55" i="74"/>
  <c r="B56" i="74"/>
  <c r="B57" i="74"/>
  <c r="B58" i="74"/>
  <c r="B59" i="74"/>
  <c r="B60" i="74"/>
  <c r="B61" i="74"/>
  <c r="B62" i="74"/>
  <c r="B63" i="74"/>
  <c r="B64" i="74"/>
  <c r="B65" i="74"/>
  <c r="B66" i="74"/>
  <c r="B67" i="74"/>
  <c r="B68" i="74"/>
  <c r="B69" i="74"/>
  <c r="B70" i="74"/>
  <c r="B71" i="74"/>
  <c r="B72" i="74"/>
  <c r="B73" i="74"/>
  <c r="B74" i="74"/>
  <c r="B75" i="74"/>
  <c r="B76" i="74"/>
  <c r="B77" i="74"/>
  <c r="B78" i="74"/>
  <c r="B79" i="74"/>
  <c r="B80" i="74"/>
  <c r="B81" i="74"/>
  <c r="B82" i="74"/>
  <c r="B83" i="74"/>
  <c r="B84" i="74"/>
  <c r="B85" i="74"/>
  <c r="B86" i="74"/>
  <c r="B87" i="74"/>
  <c r="B88" i="74"/>
  <c r="B89" i="74"/>
  <c r="B90" i="74"/>
  <c r="B91" i="74"/>
  <c r="B92" i="74"/>
  <c r="B93" i="74"/>
  <c r="B94" i="74"/>
  <c r="B95" i="74"/>
  <c r="B96" i="74"/>
  <c r="B97" i="74"/>
  <c r="B98" i="74"/>
  <c r="B99" i="74"/>
  <c r="B100" i="74"/>
  <c r="B101" i="74"/>
  <c r="B102" i="74"/>
  <c r="B103" i="74"/>
  <c r="B104" i="74"/>
  <c r="B105" i="74"/>
  <c r="B106" i="74"/>
  <c r="B107" i="74"/>
  <c r="B108" i="74"/>
  <c r="B109" i="74"/>
  <c r="B110" i="74"/>
  <c r="B111" i="74"/>
  <c r="B112" i="74"/>
  <c r="B113" i="74"/>
  <c r="B114" i="74"/>
  <c r="B115" i="74"/>
  <c r="B116" i="74"/>
  <c r="B117" i="74"/>
  <c r="B118" i="74"/>
  <c r="B119" i="74"/>
  <c r="B120" i="74"/>
  <c r="B121" i="74"/>
  <c r="B122" i="74"/>
  <c r="B123" i="74"/>
  <c r="B124" i="74"/>
  <c r="B125" i="74"/>
  <c r="B126" i="74"/>
  <c r="B127" i="74"/>
  <c r="B128" i="74"/>
  <c r="B129" i="74"/>
  <c r="B130" i="74"/>
  <c r="B131" i="74"/>
  <c r="B132" i="74"/>
  <c r="B133" i="74"/>
  <c r="B134" i="74"/>
  <c r="B135" i="74"/>
  <c r="B136" i="74"/>
  <c r="B137" i="74"/>
  <c r="B138" i="74"/>
  <c r="B139" i="74"/>
  <c r="B140" i="74"/>
  <c r="B141" i="74"/>
  <c r="B142" i="74"/>
  <c r="B143" i="74"/>
  <c r="B144" i="74"/>
  <c r="B145" i="74"/>
  <c r="J6" i="74"/>
  <c r="I6" i="74"/>
  <c r="H6" i="74"/>
  <c r="G6" i="74"/>
  <c r="F6" i="74"/>
  <c r="E6" i="74"/>
  <c r="C6" i="74"/>
  <c r="B6" i="74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25" i="5"/>
  <c r="J25" i="5"/>
  <c r="I26" i="5"/>
  <c r="J26" i="5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3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3" i="7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6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6" i="6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J8" i="3"/>
  <c r="J9" i="3"/>
  <c r="J10" i="3"/>
  <c r="J11" i="3"/>
  <c r="J13" i="3"/>
  <c r="J14" i="3"/>
  <c r="J15" i="3"/>
  <c r="J16" i="3"/>
  <c r="J17" i="3"/>
  <c r="J18" i="3"/>
  <c r="J19" i="3"/>
  <c r="J20" i="3"/>
  <c r="J21" i="3"/>
  <c r="J22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11" i="2"/>
  <c r="I8" i="2"/>
  <c r="I9" i="2"/>
  <c r="I10" i="2"/>
  <c r="I12" i="2"/>
  <c r="I13" i="2"/>
  <c r="I14" i="2"/>
  <c r="I16" i="2"/>
  <c r="I17" i="2"/>
  <c r="I18" i="2"/>
  <c r="I19" i="2"/>
  <c r="I20" i="2"/>
  <c r="J8" i="2"/>
  <c r="J9" i="2"/>
  <c r="J10" i="2"/>
  <c r="J11" i="2"/>
  <c r="J12" i="2"/>
  <c r="J13" i="2"/>
  <c r="J16" i="2"/>
  <c r="J17" i="2"/>
  <c r="J18" i="2"/>
  <c r="J19" i="2"/>
  <c r="J20" i="2"/>
  <c r="J23" i="1"/>
  <c r="J13" i="1"/>
  <c r="J12" i="1"/>
  <c r="J10" i="1"/>
  <c r="J9" i="1"/>
  <c r="I18" i="1"/>
  <c r="I15" i="1"/>
  <c r="I13" i="1"/>
  <c r="I7" i="1"/>
  <c r="J22" i="57"/>
  <c r="J21" i="57"/>
  <c r="J20" i="57"/>
  <c r="J19" i="57"/>
  <c r="J18" i="57"/>
  <c r="J17" i="57"/>
  <c r="J16" i="57"/>
  <c r="J14" i="57"/>
  <c r="J18" i="1" s="1"/>
  <c r="J13" i="57"/>
  <c r="J12" i="57"/>
  <c r="J11" i="57"/>
  <c r="J15" i="1" s="1"/>
  <c r="J10" i="57"/>
  <c r="J14" i="1" s="1"/>
  <c r="J9" i="57"/>
  <c r="J8" i="57"/>
  <c r="J7" i="57"/>
  <c r="J11" i="1" s="1"/>
  <c r="J6" i="57"/>
  <c r="J5" i="57"/>
  <c r="J4" i="57"/>
  <c r="J8" i="1" s="1"/>
  <c r="J3" i="57"/>
  <c r="J7" i="1" s="1"/>
  <c r="J2" i="57"/>
  <c r="J15" i="57"/>
  <c r="I3" i="57"/>
  <c r="I4" i="57"/>
  <c r="I8" i="1" s="1"/>
  <c r="I5" i="57"/>
  <c r="I9" i="1" s="1"/>
  <c r="I9" i="57"/>
  <c r="I6" i="57"/>
  <c r="I10" i="1" s="1"/>
  <c r="I8" i="57"/>
  <c r="I12" i="1" s="1"/>
  <c r="I10" i="57"/>
  <c r="I14" i="1" s="1"/>
  <c r="I11" i="57"/>
  <c r="I7" i="57"/>
  <c r="I11" i="1" s="1"/>
  <c r="I12" i="57"/>
  <c r="I19" i="57"/>
  <c r="I23" i="1" s="1"/>
  <c r="I14" i="57"/>
  <c r="I13" i="57"/>
  <c r="I15" i="57"/>
  <c r="I16" i="57"/>
  <c r="I17" i="57"/>
  <c r="I18" i="57"/>
  <c r="I20" i="57"/>
  <c r="I21" i="57"/>
  <c r="I22" i="57"/>
  <c r="I2" i="5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00000000-0015-0000-FFFF-FFFF01000000}" keepAlive="1" name="Query - Merge18" description="Connection to the 'Merge18' query in the workbook." type="5" refreshedVersion="8" background="1" saveData="1">
    <dbPr connection="Provider=Microsoft.Mashup.OleDb.1;Data Source=$Workbook$;Location=Merge18;Extended Properties=&quot;&quot;" command="SELECT * FROM [Merge18]"/>
  </connection>
  <connection id="3" xr16:uid="{00000000-0015-0000-FFFF-FFFF02000000}" keepAlive="1" name="Query - Merge19" description="Connection to the 'Merge19' query in the workbook." type="5" refreshedVersion="8" background="1" saveData="1">
    <dbPr connection="Provider=Microsoft.Mashup.OleDb.1;Data Source=$Workbook$;Location=Merge19;Extended Properties=&quot;&quot;" command="SELECT * FROM [Merge19]"/>
  </connection>
  <connection id="4" xr16:uid="{00000000-0015-0000-FFFF-FFFF03000000}" keepAlive="1" name="Query - Merge20" description="Connection to the 'Merge20' query in the workbook." type="5" refreshedVersion="8" background="1" saveData="1">
    <dbPr connection="Provider=Microsoft.Mashup.OleDb.1;Data Source=$Workbook$;Location=Merge20;Extended Properties=&quot;&quot;" command="SELECT * FROM [Merge20]"/>
  </connection>
  <connection id="5" xr16:uid="{00000000-0015-0000-FFFF-FFFF04000000}" keepAlive="1" name="Query - Merge21" description="Connection to the 'Merge21' query in the workbook." type="5" refreshedVersion="8" background="1" saveData="1">
    <dbPr connection="Provider=Microsoft.Mashup.OleDb.1;Data Source=$Workbook$;Location=Merge21;Extended Properties=&quot;&quot;" command="SELECT * FROM [Merge21]"/>
  </connection>
  <connection id="6" xr16:uid="{00000000-0015-0000-FFFF-FFFF05000000}" keepAlive="1" name="Query - Merge22" description="Connection to the 'Merge22' query in the workbook." type="5" refreshedVersion="8" background="1" saveData="1">
    <dbPr connection="Provider=Microsoft.Mashup.OleDb.1;Data Source=$Workbook$;Location=Merge22;Extended Properties=&quot;&quot;" command="SELECT * FROM [Merge22]"/>
  </connection>
  <connection id="7" xr16:uid="{00000000-0015-0000-FFFF-FFFF06000000}" keepAlive="1" name="Query - Merge23" description="Connection to the 'Merge23' query in the workbook." type="5" refreshedVersion="8" background="1" saveData="1">
    <dbPr connection="Provider=Microsoft.Mashup.OleDb.1;Data Source=$Workbook$;Location=Merge23;Extended Properties=&quot;&quot;" command="SELECT * FROM [Merge23]"/>
  </connection>
  <connection id="8" xr16:uid="{00000000-0015-0000-FFFF-FFFF07000000}" keepAlive="1" name="Query - Merge24" description="Connection to the 'Merge24' query in the workbook." type="5" refreshedVersion="8" background="1" saveData="1">
    <dbPr connection="Provider=Microsoft.Mashup.OleDb.1;Data Source=$Workbook$;Location=Merge24;Extended Properties=&quot;&quot;" command="SELECT * FROM [Merge24]"/>
  </connection>
  <connection id="9" xr16:uid="{3E406C6A-7537-48EB-B15A-C003A4ED100D}" keepAlive="1" name="Query - MergeFinalScore" description="Connection to the 'MergeFinalScore' query in the workbook." type="5" refreshedVersion="8" background="1" saveData="1">
    <dbPr connection="Provider=Microsoft.Mashup.OleDb.1;Data Source=$Workbook$;Location=MergeFinalScore;Extended Properties=&quot;&quot;" command="SELECT * FROM [MergeFinalScore]"/>
  </connection>
  <connection id="10" xr16:uid="{00000000-0015-0000-FFFF-FFFF080000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11" xr16:uid="{00000000-0015-0000-FFFF-FFFF09000000}" keepAlive="1" name="Query - Table18" description="Connection to the 'Table18' query in the workbook." type="5" refreshedVersion="0" background="1">
    <dbPr connection="Provider=Microsoft.Mashup.OleDb.1;Data Source=$Workbook$;Location=Table18;Extended Properties=&quot;&quot;" command="SELECT * FROM [Table18]"/>
  </connection>
  <connection id="12" xr16:uid="{00000000-0015-0000-FFFF-FFFF0A000000}" keepAlive="1" name="Query - Table19" description="Connection to the 'Table19' query in the workbook." type="5" refreshedVersion="0" background="1">
    <dbPr connection="Provider=Microsoft.Mashup.OleDb.1;Data Source=$Workbook$;Location=Table19;Extended Properties=&quot;&quot;" command="SELECT * FROM [Table19]"/>
  </connection>
  <connection id="13" xr16:uid="{00000000-0015-0000-FFFF-FFFF0B00000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14" xr16:uid="{00000000-0015-0000-FFFF-FFFF0C000000}" keepAlive="1" name="Query - Table20" description="Connection to the 'Table20' query in the workbook." type="5" refreshedVersion="0" background="1">
    <dbPr connection="Provider=Microsoft.Mashup.OleDb.1;Data Source=$Workbook$;Location=Table20;Extended Properties=&quot;&quot;" command="SELECT * FROM [Table20]"/>
  </connection>
  <connection id="15" xr16:uid="{00000000-0015-0000-FFFF-FFFF0D000000}" keepAlive="1" name="Query - Table21" description="Connection to the 'Table21' query in the workbook." type="5" refreshedVersion="0" background="1">
    <dbPr connection="Provider=Microsoft.Mashup.OleDb.1;Data Source=$Workbook$;Location=Table21;Extended Properties=&quot;&quot;" command="SELECT * FROM [Table21]"/>
  </connection>
  <connection id="16" xr16:uid="{00000000-0015-0000-FFFF-FFFF0E000000}" keepAlive="1" name="Query - Table22" description="Connection to the 'Table22' query in the workbook." type="5" refreshedVersion="0" background="1">
    <dbPr connection="Provider=Microsoft.Mashup.OleDb.1;Data Source=$Workbook$;Location=Table22;Extended Properties=&quot;&quot;" command="SELECT * FROM [Table22]"/>
  </connection>
  <connection id="17" xr16:uid="{00000000-0015-0000-FFFF-FFFF0F000000}" keepAlive="1" name="Query - Table23" description="Connection to the 'Table23' query in the workbook." type="5" refreshedVersion="0" background="1">
    <dbPr connection="Provider=Microsoft.Mashup.OleDb.1;Data Source=$Workbook$;Location=Table23;Extended Properties=&quot;&quot;" command="SELECT * FROM [Table23]"/>
  </connection>
  <connection id="18" xr16:uid="{00000000-0015-0000-FFFF-FFFF10000000}" keepAlive="1" name="Query - Table24" description="Connection to the 'Table24' query in the workbook." type="5" refreshedVersion="0" background="1">
    <dbPr connection="Provider=Microsoft.Mashup.OleDb.1;Data Source=$Workbook$;Location=Table24;Extended Properties=&quot;&quot;" command="SELECT * FROM [Table24]"/>
  </connection>
  <connection id="19" xr16:uid="{D7972D37-2F0D-4098-A1DC-7A4AB3BE34A2}" keepAlive="1" name="Query - TableFinal" description="Connection to the 'TableFinal' query in the workbook." type="5" refreshedVersion="8" background="1" saveData="1">
    <dbPr connection="Provider=Microsoft.Mashup.OleDb.1;Data Source=$Workbook$;Location=TableFinal;Extended Properties=&quot;&quot;" command="SELECT * FROM [TableFinal]"/>
  </connection>
  <connection id="20" xr16:uid="{D2F02B8C-7256-4FFC-AC9D-4F9448E80C47}" keepAlive="1" name="Query - TableScroe" description="Connection to the 'TableScroe' query in the workbook." type="5" refreshedVersion="8" background="1" saveData="1">
    <dbPr connection="Provider=Microsoft.Mashup.OleDb.1;Data Source=$Workbook$;Location=TableScroe;Extended Properties=&quot;&quot;" command="SELECT * FROM [TableScroe]"/>
  </connection>
</connections>
</file>

<file path=xl/sharedStrings.xml><?xml version="1.0" encoding="utf-8"?>
<sst xmlns="http://schemas.openxmlformats.org/spreadsheetml/2006/main" count="9168" uniqueCount="1380">
  <si>
    <t>DANH SÁCH THI VÀ KẾT QUẢ THI IELTS ĐẦU RA</t>
  </si>
  <si>
    <t>TT</t>
  </si>
  <si>
    <t>Số CCCD/
Hộ chiếu</t>
  </si>
  <si>
    <t>Mã ngạch viên chức</t>
  </si>
  <si>
    <t>Điểm IELTS đầu vào</t>
  </si>
  <si>
    <t xml:space="preserve">Điểm IELTS đầu ra cần đạt </t>
  </si>
  <si>
    <t>Kết quả thi IELTS  đầu ra</t>
  </si>
  <si>
    <t>KẾT QUẢ 
(Đạt/Không đạt)</t>
  </si>
  <si>
    <t>Nghe</t>
  </si>
  <si>
    <t>Đọc</t>
  </si>
  <si>
    <t>Viết</t>
  </si>
  <si>
    <t>Nói</t>
  </si>
  <si>
    <t>Điểm IELTS đầu ra</t>
  </si>
  <si>
    <t>SỞ GIÁO DỤC &amp; ĐÀO TẠO HÀ NỘI</t>
  </si>
  <si>
    <t>ĐẠI DIỆN ĐƠN VỊ ĐÀO TẠO</t>
  </si>
  <si>
    <t>Số học viên đạt kết quả đầu ra:</t>
  </si>
  <si>
    <t>Số học viên không đạt kết quả đầu ra:</t>
  </si>
  <si>
    <t>Số học viên thuộc diện bất khả kháng</t>
  </si>
  <si>
    <t>Số học viên được thanh toán:</t>
  </si>
  <si>
    <t>TH</t>
  </si>
  <si>
    <t>Đông Anh</t>
  </si>
  <si>
    <t>THCS</t>
  </si>
  <si>
    <t>THCS Bắc Hồng</t>
  </si>
  <si>
    <t>THCS Cổ Loa</t>
  </si>
  <si>
    <t>THCS Hải Bối</t>
  </si>
  <si>
    <t>THCS Thụy Lâm</t>
  </si>
  <si>
    <t>THCS Tam Đồng</t>
  </si>
  <si>
    <t>Mê Linh</t>
  </si>
  <si>
    <r>
      <t xml:space="preserve">Đơn vị đào tạo: </t>
    </r>
    <r>
      <rPr>
        <b/>
        <sz val="16"/>
        <color rgb="FFFF0000"/>
        <rFont val="Times New Roman"/>
        <family val="1"/>
      </rPr>
      <t>CÔNG TY CỔ PHẦN TRUNG TÂM ANH NGỮ AMA VINH</t>
    </r>
  </si>
  <si>
    <t>Tây Hồ</t>
  </si>
  <si>
    <t>THPT</t>
  </si>
  <si>
    <t>THPT Ngọc Tảo</t>
  </si>
  <si>
    <t>Phúc Thọ</t>
  </si>
  <si>
    <t>THPT Đoàn Kết</t>
  </si>
  <si>
    <t>THCS Văn Khê</t>
  </si>
  <si>
    <t>THCS Đông Xuân</t>
  </si>
  <si>
    <t>Nguyễn Thị Lệ</t>
  </si>
  <si>
    <t>Nguyễn Thị Tuyết</t>
  </si>
  <si>
    <t>THCS Ngô Quyền</t>
  </si>
  <si>
    <t xml:space="preserve">Mê Linh </t>
  </si>
  <si>
    <t>Nguyễn Thị Phương</t>
  </si>
  <si>
    <t>THCS Tiên Dương</t>
  </si>
  <si>
    <t>THCS Vĩnh Ngọc</t>
  </si>
  <si>
    <t>THCS Đông Hội</t>
  </si>
  <si>
    <t>THCS Xuân Nộn</t>
  </si>
  <si>
    <t>THPT Bắc Thăng Long</t>
  </si>
  <si>
    <t>THPT Vân Nội</t>
  </si>
  <si>
    <t>THCS Nguyễn Huy Tưởng</t>
  </si>
  <si>
    <t>THCS Vân Hà</t>
  </si>
  <si>
    <t xml:space="preserve">Số học viên đã thi và được cấp chứng chỉ: </t>
  </si>
  <si>
    <t>Mã HV</t>
  </si>
  <si>
    <t>HỌ VÀ TÊN</t>
  </si>
  <si>
    <t>NĂM SINH</t>
  </si>
  <si>
    <t>BẬC DẠY</t>
  </si>
  <si>
    <t>ĐƠN VỊ CÔNG TÁC</t>
  </si>
  <si>
    <t>PHƯỜNG/XÃ</t>
  </si>
  <si>
    <t>Mã lớp: 18</t>
  </si>
  <si>
    <t>Trần Thị Thu Hiền</t>
  </si>
  <si>
    <t xml:space="preserve">Tam Đồng </t>
  </si>
  <si>
    <t>Phúc Thịnh</t>
  </si>
  <si>
    <t>Nguyễn Thị Thảo</t>
  </si>
  <si>
    <t>Tiến Thắng</t>
  </si>
  <si>
    <t>THCS Tiến Thắng</t>
  </si>
  <si>
    <t>Vũ Hùng Quang</t>
  </si>
  <si>
    <t>THCS Tráng Việt</t>
  </si>
  <si>
    <t>Phùng Thị Kim Thao</t>
  </si>
  <si>
    <t>THCS Phạm Hồng Thái</t>
  </si>
  <si>
    <t>Trần Thị Thanh Tâm</t>
  </si>
  <si>
    <t>TH Xuân Canh</t>
  </si>
  <si>
    <t>Ngô Thị Hồng Dương</t>
  </si>
  <si>
    <t>THCS Kim Hoa</t>
  </si>
  <si>
    <t>Quang Minh</t>
  </si>
  <si>
    <t>Ngô Thị Thanh Thuỷ</t>
  </si>
  <si>
    <t>TH Kim Hoa A</t>
  </si>
  <si>
    <t>Nguyễn Thị Yến</t>
  </si>
  <si>
    <t>THCS Hồng Kỳ</t>
  </si>
  <si>
    <t>Trung Giã</t>
  </si>
  <si>
    <t>Nguyễn Thị Hồng Vân</t>
  </si>
  <si>
    <t>THCS Trung Giã</t>
  </si>
  <si>
    <t>Nguyễn Thị Mai</t>
  </si>
  <si>
    <t>THCS Nguyễn Du</t>
  </si>
  <si>
    <t>Sóc Sơn</t>
  </si>
  <si>
    <t>Vương Thị Hạnh</t>
  </si>
  <si>
    <t>THCS Tân Minh A</t>
  </si>
  <si>
    <t>Trịnh Thị Lê Hằng</t>
  </si>
  <si>
    <t>Lê Đức Vĩnh</t>
  </si>
  <si>
    <t>THCS Phù Linh</t>
  </si>
  <si>
    <t>Lê Thị Duyên</t>
  </si>
  <si>
    <t>TH Đào Duy Tùng</t>
  </si>
  <si>
    <t>Vương Phương Lâm</t>
  </si>
  <si>
    <t>TH Đại Mạch</t>
  </si>
  <si>
    <t>Thiên Lộc</t>
  </si>
  <si>
    <t>Vũ Thị Mẫn</t>
  </si>
  <si>
    <t>TH Lê Hữu Tựu</t>
  </si>
  <si>
    <t xml:space="preserve">Phúc Thịnh </t>
  </si>
  <si>
    <t>Nguyễn Thị Bích Loan</t>
  </si>
  <si>
    <t>TH Hải Bối</t>
  </si>
  <si>
    <t xml:space="preserve">Vĩnh Thanh </t>
  </si>
  <si>
    <t>Nguyễn Tư Vinh</t>
  </si>
  <si>
    <t>THCS Liên Hà</t>
  </si>
  <si>
    <t>Thư Lâm</t>
  </si>
  <si>
    <t>Dương Thị Thanh Hương</t>
  </si>
  <si>
    <t>Phạm Thị Cửu</t>
  </si>
  <si>
    <t>Hoàng Thu Hằng</t>
  </si>
  <si>
    <t>THCS Uy Nỗ</t>
  </si>
  <si>
    <t>Ngô Thị Hà</t>
  </si>
  <si>
    <t>Nghiêm Thị Nụ</t>
  </si>
  <si>
    <t>THPT Liên Hà</t>
  </si>
  <si>
    <t>Phạm Thị Thu Thiêm</t>
  </si>
  <si>
    <t>Nguyễn Thị Nhung</t>
  </si>
  <si>
    <t>THPT Đông Anh</t>
  </si>
  <si>
    <t>Nguyễn Thế Huệ</t>
  </si>
  <si>
    <t>Nguyễn Thị Nga</t>
  </si>
  <si>
    <t>THPT Tiến Thịnh</t>
  </si>
  <si>
    <t xml:space="preserve">Yên Lãng </t>
  </si>
  <si>
    <t>Phùng Thu Hường</t>
  </si>
  <si>
    <t>TH Tự Lập B</t>
  </si>
  <si>
    <t>Đoàn Phương Thảo</t>
  </si>
  <si>
    <t>TH Thanh Lâm B</t>
  </si>
  <si>
    <t>Nguyễn Thanh Hà</t>
  </si>
  <si>
    <t>TH Chu Phan</t>
  </si>
  <si>
    <t>Yên Lãng</t>
  </si>
  <si>
    <t>Nguyễn Hoài Thanh</t>
  </si>
  <si>
    <t>TH Đại Thịnh B</t>
  </si>
  <si>
    <t>Nguyễn Văn Bằng</t>
  </si>
  <si>
    <t>TH Tự Lập A</t>
  </si>
  <si>
    <t>Lê Thị Loan</t>
  </si>
  <si>
    <t>TH Thạch Đà B</t>
  </si>
  <si>
    <t>Nguyễn Thị Hằng</t>
  </si>
  <si>
    <t>TH Mê Linh</t>
  </si>
  <si>
    <t>Lê Thị Hạnh</t>
  </si>
  <si>
    <t>TH Tráng Việt</t>
  </si>
  <si>
    <t>Nguyễn Thị Thắm</t>
  </si>
  <si>
    <t>THCS Tiền Phong</t>
  </si>
  <si>
    <t>Nguyễn Thu Hường</t>
  </si>
  <si>
    <t>Nguyễn Văn Dũng</t>
  </si>
  <si>
    <t>Trần Thị Bích Hiển</t>
  </si>
  <si>
    <t>Trần Thị Thu Hằng</t>
  </si>
  <si>
    <t>TH Văn Khê B</t>
  </si>
  <si>
    <t>Nguyễn Thị Kim Anh</t>
  </si>
  <si>
    <t>THCS Tự Lập</t>
  </si>
  <si>
    <t>Nguyễn Minh Dung</t>
  </si>
  <si>
    <t>Nguyễn Văn Khiêm</t>
  </si>
  <si>
    <t>THCS Chu Phan</t>
  </si>
  <si>
    <t>Nguyễn Thị Hoa</t>
  </si>
  <si>
    <t>TH An Dương</t>
  </si>
  <si>
    <t xml:space="preserve">Hồng Hà </t>
  </si>
  <si>
    <t>Quách Thị Thanh Trà</t>
  </si>
  <si>
    <t>THPT Minh Phú</t>
  </si>
  <si>
    <t>Kim Anh</t>
  </si>
  <si>
    <t>Lê Thị Dung</t>
  </si>
  <si>
    <t>THPT Sóc Sơn</t>
  </si>
  <si>
    <t>Trần Thị Huệ</t>
  </si>
  <si>
    <t>THPT Trung Giã</t>
  </si>
  <si>
    <t>Nguyễn Ngọc Tuân</t>
  </si>
  <si>
    <t>Đàm Thị Tú Uyên</t>
  </si>
  <si>
    <t>THCS Phú Minh</t>
  </si>
  <si>
    <t>Nội Bài</t>
  </si>
  <si>
    <t>Hoàng Thị Oanh</t>
  </si>
  <si>
    <t>Nguyễn Thị Hồng Thắm</t>
  </si>
  <si>
    <t>THCS Nam Sơn</t>
  </si>
  <si>
    <t>Tạ Quang Nguyên</t>
  </si>
  <si>
    <t>Trịnh Thị Thu Hường</t>
  </si>
  <si>
    <t>Trần Thị Trang</t>
  </si>
  <si>
    <t>Nguyễn Thu Trang</t>
  </si>
  <si>
    <t>THCS Nguyễn Công Trứ</t>
  </si>
  <si>
    <t>Ba Đình</t>
  </si>
  <si>
    <t>Nguyễn Thị Bích Ngọc</t>
  </si>
  <si>
    <t>THCS Mai Đình</t>
  </si>
  <si>
    <t>Bùi Thị Mai Thanh</t>
  </si>
  <si>
    <t>Trần Thị Tâm</t>
  </si>
  <si>
    <t>THCS Tiên Dược</t>
  </si>
  <si>
    <t>Trần Mai Hương</t>
  </si>
  <si>
    <t>Phạm Thị Mai Phúc</t>
  </si>
  <si>
    <t>Phù Linh</t>
  </si>
  <si>
    <t>Nguyễn Thị Hoà</t>
  </si>
  <si>
    <t>Nguyễn Thị Huệ</t>
  </si>
  <si>
    <t>THCS Dục Tú</t>
  </si>
  <si>
    <t>Lê Anh Tuấn</t>
  </si>
  <si>
    <t>THCS Đông Thái</t>
  </si>
  <si>
    <t>Đào Thị Thúy Hà</t>
  </si>
  <si>
    <t>Nguyễn Thị Lan Anh</t>
  </si>
  <si>
    <t>Nguyễn Ngọc Quân</t>
  </si>
  <si>
    <t>Ngô Văn Việt</t>
  </si>
  <si>
    <t>THCS An Dương Vương</t>
  </si>
  <si>
    <t>Lê Thị Hương</t>
  </si>
  <si>
    <t>THCS Kim Chung</t>
  </si>
  <si>
    <t xml:space="preserve">Thiên Lộc </t>
  </si>
  <si>
    <t>Phạm Thị Chính</t>
  </si>
  <si>
    <t>Lê Thị Mai Lan</t>
  </si>
  <si>
    <t>Phạm Thị Cúc</t>
  </si>
  <si>
    <t>THPT Cổ Loa</t>
  </si>
  <si>
    <t>Chử Thị Thu Trang</t>
  </si>
  <si>
    <t>Lê Thị Hải</t>
  </si>
  <si>
    <t>Nguyễn Thị Thu Hương</t>
  </si>
  <si>
    <t>Phạm Quỳnh Liên</t>
  </si>
  <si>
    <t>TH Võng La</t>
  </si>
  <si>
    <t>Dương Thị Thu Phương</t>
  </si>
  <si>
    <t>TH Thị Trấn</t>
  </si>
  <si>
    <t>Nguyễn Thị Hồng Huệ</t>
  </si>
  <si>
    <t>TH Kim Nỗ</t>
  </si>
  <si>
    <t>Nguyễn Thị Minh Hiển</t>
  </si>
  <si>
    <t>Vũ Thị Kim Thanh</t>
  </si>
  <si>
    <t>TH Tô Thị Hiển</t>
  </si>
  <si>
    <t>Nguyễn Thị Hồng Kiểm</t>
  </si>
  <si>
    <t>TH Cổ Loa</t>
  </si>
  <si>
    <t>Nguyễn Thị Châm</t>
  </si>
  <si>
    <t>TH Thăng Long</t>
  </si>
  <si>
    <t>Đàm Thị Thu Điệp</t>
  </si>
  <si>
    <t>TH Vĩnh Ngọc</t>
  </si>
  <si>
    <t>Vĩnh Thanh</t>
  </si>
  <si>
    <t>Cao Thị Bằng</t>
  </si>
  <si>
    <t>TH Dục Tú</t>
  </si>
  <si>
    <t>Nguyễn Thị Thu Uyên</t>
  </si>
  <si>
    <t>Lương Thị Hồng Nhung</t>
  </si>
  <si>
    <t>THCS Mai Lâm</t>
  </si>
  <si>
    <t>Nguyễn Thị Mai Hương</t>
  </si>
  <si>
    <t>Phan Thị Nhàn</t>
  </si>
  <si>
    <t>Nguyễn Thị Hà</t>
  </si>
  <si>
    <t>TH Liên Mạc B</t>
  </si>
  <si>
    <t>Ngô Thị Hồng Gấm</t>
  </si>
  <si>
    <t>TH Văn Khê A</t>
  </si>
  <si>
    <t>Nguyễn Thanh Nhàn</t>
  </si>
  <si>
    <t>TH Hoàng Hoa Thám</t>
  </si>
  <si>
    <t>Hoàng Văn Hùng</t>
  </si>
  <si>
    <t>Hát Môn</t>
  </si>
  <si>
    <t>Vũ Thị Minh Thu</t>
  </si>
  <si>
    <t>TH Đại Thịnh A</t>
  </si>
  <si>
    <t>Nguyễn Thị Minh Thảo</t>
  </si>
  <si>
    <t>TH Chi Đông</t>
  </si>
  <si>
    <t>Nguyễn Đức Chiến</t>
  </si>
  <si>
    <t xml:space="preserve">Hà Đông </t>
  </si>
  <si>
    <t>Nguyễn Minh Mẫn</t>
  </si>
  <si>
    <t>Nguyễn Thị Thịnh</t>
  </si>
  <si>
    <t>TH Thạch Đà A</t>
  </si>
  <si>
    <t>TH Vân Hà</t>
  </si>
  <si>
    <t>Nguyễn Thị Ánh</t>
  </si>
  <si>
    <t>Lê Thị kim Oanh</t>
  </si>
  <si>
    <t>THCS Liên Mạc</t>
  </si>
  <si>
    <t>Nguyễn Công Tuấn</t>
  </si>
  <si>
    <t>TH Hoàng Kim</t>
  </si>
  <si>
    <t>Nguyễn Thị Hồng Phúc</t>
  </si>
  <si>
    <t>Liên Mạc</t>
  </si>
  <si>
    <t>Thượng Cát</t>
  </si>
  <si>
    <t>Đỗ Thị Thanh Thủy</t>
  </si>
  <si>
    <t>THCS Trưng Vương</t>
  </si>
  <si>
    <t>Lê Xuân Hải</t>
  </si>
  <si>
    <t>Phạm Thị Liên</t>
  </si>
  <si>
    <t>Vũ Thị Hồng Nhung</t>
  </si>
  <si>
    <t>Trần Thanh Tùng</t>
  </si>
  <si>
    <t>Phạm Thị Hồng Thuỷ</t>
  </si>
  <si>
    <t>Nguyễn Minh Giang</t>
  </si>
  <si>
    <t>Chử Thị Hường</t>
  </si>
  <si>
    <t>Dương Thị Dung</t>
  </si>
  <si>
    <t>Khổng Việt Hồng</t>
  </si>
  <si>
    <t>THPT Đa Phúc</t>
  </si>
  <si>
    <t>Vũ Thị Hảo</t>
  </si>
  <si>
    <t>THCS Thanh Xuân</t>
  </si>
  <si>
    <t>THCS Quang Tiến</t>
  </si>
  <si>
    <t>Nguyễn Thị Hồng Yến</t>
  </si>
  <si>
    <t>TH Phú Minh</t>
  </si>
  <si>
    <t xml:space="preserve">Nội Bài </t>
  </si>
  <si>
    <t>Lê Thị Bích Hường</t>
  </si>
  <si>
    <t>Đặng Thị Hà</t>
  </si>
  <si>
    <t>THCS Minh Trí</t>
  </si>
  <si>
    <t>Trần Thị Minh Trang</t>
  </si>
  <si>
    <t>TH Hương Đình</t>
  </si>
  <si>
    <t>Đoàn Thị Lợi</t>
  </si>
  <si>
    <t>Phạm Thị Hà</t>
  </si>
  <si>
    <t>Trần Thị Phương Thảo</t>
  </si>
  <si>
    <t>THCS Thị trấn Sóc Sơn</t>
  </si>
  <si>
    <t>Võ Thị Thu Hương</t>
  </si>
  <si>
    <t>Bạch Mai</t>
  </si>
  <si>
    <t>Lê Thị Lý Hải</t>
  </si>
  <si>
    <t>TH Nam Hồng</t>
  </si>
  <si>
    <t>Nguyễn Hoài Linh</t>
  </si>
  <si>
    <t>Đặng Thị Mai Phương</t>
  </si>
  <si>
    <t>Phạm Thị Lành</t>
  </si>
  <si>
    <t>Phan Thị Thu Phương</t>
  </si>
  <si>
    <t>Nhữ Thị Toàn Năng</t>
  </si>
  <si>
    <t>Lê Thị Thúy Hà</t>
  </si>
  <si>
    <t>Bùi Thanh Thủy</t>
  </si>
  <si>
    <t>THPT Nguyễn Gia Thiều</t>
  </si>
  <si>
    <t>Bồ Đề</t>
  </si>
  <si>
    <t>Nguyễn Thị Phương Anh</t>
  </si>
  <si>
    <t>Đinh Thị Hoa</t>
  </si>
  <si>
    <t>TH Tiền Phong A</t>
  </si>
  <si>
    <t>Nguyễn Thị Quỳnh Thu</t>
  </si>
  <si>
    <t>Mã lớp: 21</t>
  </si>
  <si>
    <t>Mã lớp: 20</t>
  </si>
  <si>
    <t>Mã lớp: 19</t>
  </si>
  <si>
    <t>Mã lớp: 24</t>
  </si>
  <si>
    <t>Mã lớp: 23</t>
  </si>
  <si>
    <t>Mã lớp: 22</t>
  </si>
  <si>
    <t>Ngọc Hà</t>
  </si>
  <si>
    <t>001177043501</t>
  </si>
  <si>
    <t>STT</t>
  </si>
  <si>
    <t>Dấu thời gian</t>
  </si>
  <si>
    <t>Trường học nơi thầy/cô đang công tác (ví dụ TH/THCS/ THPT Đoàn Kết)</t>
  </si>
  <si>
    <t>Lớp theo danh sách của Sở</t>
  </si>
  <si>
    <t>Title (Ông - Mr/Bà - Miss)</t>
  </si>
  <si>
    <t>HỌ (VIẾT HOA KHÔNG DẤU)</t>
  </si>
  <si>
    <t>TÊN ĐỆM VÀ TÊN (VIẾT HOA KHÔNG DẤU)</t>
  </si>
  <si>
    <t>Giới tính: (Nam - Male/Nữ - Female)</t>
  </si>
  <si>
    <t>Ngày sinh (Tháng/ngày/năm)</t>
  </si>
  <si>
    <t>Số điện thoại di động</t>
  </si>
  <si>
    <t>Email đăng ký dự thi</t>
  </si>
  <si>
    <t>Chọn giấy tờ tùy thân: CCCD (National identity) hoặc hộ chiếu (passport)</t>
  </si>
  <si>
    <t>Số CCCD</t>
  </si>
  <si>
    <t>Ngày hết hạn CCCD</t>
  </si>
  <si>
    <t>File ảnh CCCD mặt trước</t>
  </si>
  <si>
    <t>File ảnh CCCD mặt sau</t>
  </si>
  <si>
    <t>File ảnh Hộ chiếu</t>
  </si>
  <si>
    <t>AMA</t>
  </si>
  <si>
    <t>THCS NGUYỄN DU</t>
  </si>
  <si>
    <t>Giáo viên trung học cơ sở hạng II - V.07.04.31</t>
  </si>
  <si>
    <t>L20</t>
  </si>
  <si>
    <t>Miss</t>
  </si>
  <si>
    <t>BÙI</t>
  </si>
  <si>
    <t>THỊ MAI THANH</t>
  </si>
  <si>
    <t>Female</t>
  </si>
  <si>
    <t>buithanh26@gmal.com</t>
  </si>
  <si>
    <t>National identity</t>
  </si>
  <si>
    <t>001175032774</t>
  </si>
  <si>
    <t>https://drive.google.com/open?id=1CKcujb0Lf03xKP1M3r0_HP8bJR6dvW-C</t>
  </si>
  <si>
    <t>https://drive.google.com/open?id=17i6HC0LNT0MmBJ2fNXz1Gko4JLU9yX6A</t>
  </si>
  <si>
    <t>KHÔNG CÓ</t>
  </si>
  <si>
    <t>Giáo viên trung học phổ thông hạng III - V.07.05.15</t>
  </si>
  <si>
    <t>L23</t>
  </si>
  <si>
    <t>CHU</t>
  </si>
  <si>
    <t>THI HUONG</t>
  </si>
  <si>
    <t>huongthanhthaomy@gmail.com</t>
  </si>
  <si>
    <t>001176049161</t>
  </si>
  <si>
    <t>https://drive.google.com/open?id=13Pmyxn0iNTFYghwb0dDayPr0S6xcaDHJ</t>
  </si>
  <si>
    <t>https://drive.google.com/open?id=1Mg8XDnLPAb7i4cLFU1WinqFB6xfBHYYj</t>
  </si>
  <si>
    <t>L24</t>
  </si>
  <si>
    <t>DANG</t>
  </si>
  <si>
    <t>THI MAI PHUONG</t>
  </si>
  <si>
    <t>dangmaiphuong123@gmail.com</t>
  </si>
  <si>
    <t>001184057507</t>
  </si>
  <si>
    <t>https://drive.google.com/open?id=1VVa_1hEXHRVfc6D9qc8Kxox7prD12Xli</t>
  </si>
  <si>
    <t>https://drive.google.com/open?id=1FbeGeYoCfMRG4idw969muVGQJjuOu8vN</t>
  </si>
  <si>
    <t>DUONG</t>
  </si>
  <si>
    <t>THI DUNG</t>
  </si>
  <si>
    <t>Dunganhbntg@gmail.com</t>
  </si>
  <si>
    <t>027176002787</t>
  </si>
  <si>
    <t>https://drive.google.com/open?id=1YVETZp9Xy-qu1dVNTpsYA3Y-pTTCm5ua</t>
  </si>
  <si>
    <t>https://drive.google.com/open?id=1lyLLkkMY3Nmw03sEotOH8D-bjkeRu1_o</t>
  </si>
  <si>
    <t>hvhunganh@c3ngoctao.edu.vn</t>
  </si>
  <si>
    <t>Mr</t>
  </si>
  <si>
    <t>HOANG</t>
  </si>
  <si>
    <t xml:space="preserve">VAN HUNG </t>
  </si>
  <si>
    <t>Male</t>
  </si>
  <si>
    <t>001083006421</t>
  </si>
  <si>
    <t>https://drive.google.com/open?id=1mOWf25Tq106txEOOA1cZs7KfcNgne0J7</t>
  </si>
  <si>
    <t>https://drive.google.com/open?id=19wEyXIF0mTnPzemB-zzfFAIW5rjU-xYg</t>
  </si>
  <si>
    <t>THI OANH</t>
  </si>
  <si>
    <t>vietoanh2325@gmail.com</t>
  </si>
  <si>
    <t>Giáo viên trung học phổ thông hạng II - V.07.05.14</t>
  </si>
  <si>
    <t>L19</t>
  </si>
  <si>
    <t>LE</t>
  </si>
  <si>
    <t>tanamkhanhhuy@gmail.com</t>
  </si>
  <si>
    <t>001184058569</t>
  </si>
  <si>
    <t>https://drive.google.com/open?id=1CEwdajPqvA4nYhwDW9dZcDXTSTBXWlLv</t>
  </si>
  <si>
    <t>https://drive.google.com/open?id=1Bl1-MylwiUXKmxTHXGa7gbq4obbEqEhN</t>
  </si>
  <si>
    <t>lethidung77@gmail.com</t>
  </si>
  <si>
    <t>001177014103</t>
  </si>
  <si>
    <t>THI HANH</t>
  </si>
  <si>
    <t>lehanhanh78@gmail.com</t>
  </si>
  <si>
    <t>001178029862</t>
  </si>
  <si>
    <t>https://drive.google.com/open?id=1ZWn6sUejpbTUV02a8KEd6bDrgtIs89rj</t>
  </si>
  <si>
    <t>https://drive.google.com/open?id=10oZyDb0gUAkb3SlVUxyOKnMrBJ906RKm</t>
  </si>
  <si>
    <t>THI KIM OANH</t>
  </si>
  <si>
    <t>oanhle8784@gmail.com</t>
  </si>
  <si>
    <t>001184035063</t>
  </si>
  <si>
    <t>https://drive.google.com/open?id=11kfOqmI7wDQwy73E8wpW9AiC3l2o6jBq</t>
  </si>
  <si>
    <t>https://drive.google.com/open?id=15PboRVdSfNFyRudL_k62GppoVmd37AHF</t>
  </si>
  <si>
    <t>Giáo viên tiểu học hạng II – V.07.03.28</t>
  </si>
  <si>
    <t>THI LOAN</t>
  </si>
  <si>
    <t>leloantdb2025@gmail.com</t>
  </si>
  <si>
    <t>001181004093</t>
  </si>
  <si>
    <t>https://drive.google.com/open?id=1Omu2wKemEKGlv_cgmeO5E6AaDKmJmer-</t>
  </si>
  <si>
    <t>https://drive.google.com/open?id=1iRfT8yeXzKS3DXLTmXcxrydBTRpr6lKs</t>
  </si>
  <si>
    <t>L21</t>
  </si>
  <si>
    <t>THI MAI LAN</t>
  </si>
  <si>
    <t>lemailanha@gmail.com</t>
  </si>
  <si>
    <t>001174036478</t>
  </si>
  <si>
    <t>https://drive.google.com/open?id=1G4z3mREEdKw3YoVK310VzkzQOKVtiYec</t>
  </si>
  <si>
    <t>https://drive.google.com/open?id=1-l_3mqSY-kH_G5x0zppcNVrX0_CsMdiG</t>
  </si>
  <si>
    <t>XUAN HAI</t>
  </si>
  <si>
    <t>xuanhaithcstv@gmail.com</t>
  </si>
  <si>
    <t>001078028836</t>
  </si>
  <si>
    <t>https://drive.google.com/open?id=1iW0hzCpqK-vbHmvLDjW2yR0Vw_2pyw1w</t>
  </si>
  <si>
    <t>https://drive.google.com/open?id=1g4HdWUtHHo8MTaskdiId9F3neXaM4CkW</t>
  </si>
  <si>
    <t>Giáo viên trung học cơ sở hạng III - V.07.04.32</t>
  </si>
  <si>
    <t>L22</t>
  </si>
  <si>
    <t>LUONG</t>
  </si>
  <si>
    <t>THI HONG NHUNG</t>
  </si>
  <si>
    <t>Nhungluong1906@gmail.com</t>
  </si>
  <si>
    <t>https://drive.google.com/open?id=1_aUp3VfvfjoFTtLIj5gnZ9ppa_2JuGzr</t>
  </si>
  <si>
    <t>https://drive.google.com/open?id=1P88QIxZAzwecdaXAxbWDf8tEL4Zda42T</t>
  </si>
  <si>
    <t>L18</t>
  </si>
  <si>
    <t>NGO</t>
  </si>
  <si>
    <t>THI HONG DUONG</t>
  </si>
  <si>
    <t>hongduong975@gmail.com</t>
  </si>
  <si>
    <t>001175030348</t>
  </si>
  <si>
    <t>https://drive.google.com/open?id=14qxwi3_HVgXBK87ilpcEEqP1Wp3QfE9h</t>
  </si>
  <si>
    <t>https://drive.google.com/open?id=1Uf_Q9CJa9kYtHmBmfpORgPrhzHAiOOvT</t>
  </si>
  <si>
    <t>TH KIM HOA A</t>
  </si>
  <si>
    <t>THI THANH THUY</t>
  </si>
  <si>
    <t>ngothuy0977@gmail.com</t>
  </si>
  <si>
    <t>001177032960</t>
  </si>
  <si>
    <t>https://drive.google.com/open?id=1dwOXz6Yc55cIV4yKz3S4jYNylJiVZkGw</t>
  </si>
  <si>
    <t>https://drive.google.com/open?id=1COapAXpbaTx9M_BigdOlq2fnoZMZmhyr</t>
  </si>
  <si>
    <t>VAN VIET</t>
  </si>
  <si>
    <t>gviet1977@gmail.com</t>
  </si>
  <si>
    <t>001077036817</t>
  </si>
  <si>
    <t>https://drive.google.com/open?id=1aA-EFwmWBJw2QmM5ztwCpWYcWsE1ulGZ</t>
  </si>
  <si>
    <t>https://drive.google.com/open?id=1hjv544gSXpRO2vdbZ6EOw5tyiUqrKZ-F</t>
  </si>
  <si>
    <t>NGUYEN</t>
  </si>
  <si>
    <t>CONG TUAN</t>
  </si>
  <si>
    <t>nguyentuan1511976@gmail.com</t>
  </si>
  <si>
    <t>001076003003</t>
  </si>
  <si>
    <t>https://drive.google.com/open?id=1Q-Th_-BZbCtK3LDZoiuXF8BZGjNd4D6-</t>
  </si>
  <si>
    <t>https://drive.google.com/open?id=1h_H1KXGAmBmuJ4gFNwNs--Zmd6v6d-qG</t>
  </si>
  <si>
    <t>HOAI THANH</t>
  </si>
  <si>
    <t>hunggpml01@gmail.com</t>
  </si>
  <si>
    <t>034178005875</t>
  </si>
  <si>
    <t>https://drive.google.com/open?id=1vxOgHlDzj5GI04dZuLAVeX8DjUI2IsSB</t>
  </si>
  <si>
    <t>https://drive.google.com/open?id=1zhgyJqLZ7bHJVNSSSW9XO11Q-bFFNj4I</t>
  </si>
  <si>
    <t>Giáo viên trung học cơ sở hạng I - V.07.04.30</t>
  </si>
  <si>
    <t>MINH DUNG</t>
  </si>
  <si>
    <t>minhdungkh25@gmail.com</t>
  </si>
  <si>
    <t>001079033488</t>
  </si>
  <si>
    <t>https://drive.google.com/open?id=15fagoAmh2L-JiMr6Y-ou2UR9GqUGcCFX</t>
  </si>
  <si>
    <t>https://drive.google.com/open?id=17EpX-1GtNZoskh29fPCB9Tvrs-rnbo2D</t>
  </si>
  <si>
    <t>C510532707</t>
  </si>
  <si>
    <t>https://drive.google.com/open?id=1RUOxMwSohV1IOZGdhfWnmVoapZjocg7k</t>
  </si>
  <si>
    <t>MINH GIANG</t>
  </si>
  <si>
    <t>giangbinhka@gmail.com</t>
  </si>
  <si>
    <t>002178000027</t>
  </si>
  <si>
    <t>https://drive.google.com/open?id=12kbUQ3jOIq1if9EOeaayEYcNMOxkpnml</t>
  </si>
  <si>
    <t>https://drive.google.com/open?id=1JL1AliobINqr68Cm6jG_hqapX4aIUxRf</t>
  </si>
  <si>
    <t>THCS Thanh Lâm B</t>
  </si>
  <si>
    <t>PHUONG LIEN</t>
  </si>
  <si>
    <t>phuonglien2122@gmail.com</t>
  </si>
  <si>
    <t>‘026180011021</t>
  </si>
  <si>
    <t>https://drive.google.com/open?id=129kYJ1r4F-Q2RqQiz9jl05zDAnMP6jkj</t>
  </si>
  <si>
    <t>https://drive.google.com/open?id=1BYDEqctI9f8YRrnHwkGr7hrYDMCoMeGh</t>
  </si>
  <si>
    <t>THE HUE</t>
  </si>
  <si>
    <t>nguyenthehue0903@gmail.com</t>
  </si>
  <si>
    <t>001077040753</t>
  </si>
  <si>
    <t>https://drive.google.com/open?id=1NnvNA609TLkxJ83pTnA899wl0mc4Aala</t>
  </si>
  <si>
    <t>https://drive.google.com/open?id=1nuvBElRYhIgsgGe0YDchgHXQBo8x6GUf</t>
  </si>
  <si>
    <t xml:space="preserve">THCS Phạm Hồng Thái </t>
  </si>
  <si>
    <t>THI ANH</t>
  </si>
  <si>
    <t>minhanh271.ad@gmail.com</t>
  </si>
  <si>
    <t>026181006803</t>
  </si>
  <si>
    <t>THI BICH NGOC</t>
  </si>
  <si>
    <t>ngocqueo76@gmail.com</t>
  </si>
  <si>
    <t>001176033068</t>
  </si>
  <si>
    <t>https://drive.google.com/open?id=1dRgto784GvW82a0WqPZFcZBj_qTanNdr</t>
  </si>
  <si>
    <t>https://drive.google.com/open?id=1Zm_Qmjfln8k6jYojNVyUsgfrO5xtjEZZ</t>
  </si>
  <si>
    <t>THI HONG THAM</t>
  </si>
  <si>
    <t>thammyhieu@gmail.com</t>
  </si>
  <si>
    <t>‘001177017369</t>
  </si>
  <si>
    <t>https://drive.google.com/open?id=1GEk_uoRuMVVXryI-edtqvQlHvZlAmJqv</t>
  </si>
  <si>
    <t>https://drive.google.com/open?id=1rsl4SCDi4a3iXBELyxmPdcTaHqq0XJe5</t>
  </si>
  <si>
    <t>THI HONG VAN</t>
  </si>
  <si>
    <t>0989859935</t>
  </si>
  <si>
    <t>vannquan123@gmail.com</t>
  </si>
  <si>
    <t>001176048717</t>
  </si>
  <si>
    <t>https://drive.google.com/open?id=19bLDyrDioXKFSuqgWQN1fLre-TB-zUuM</t>
  </si>
  <si>
    <t>https://drive.google.com/open?id=1cf12qGUbaA8iaE9xjNr6i4xwbpaUrW2l</t>
  </si>
  <si>
    <t>THỊ KIM ANH</t>
  </si>
  <si>
    <t>nguyenanh.c2tl@gmail.com</t>
  </si>
  <si>
    <t>001184025932</t>
  </si>
  <si>
    <t>https://drive.google.com/open?id=1euJR7jDwtRQKsDnH3nj5KbkJG9YkerKK</t>
  </si>
  <si>
    <t>https://drive.google.com/open?id=1-TVBKFinSmo9W_auhTbw4wREF8AgvIbg</t>
  </si>
  <si>
    <t xml:space="preserve">THPT Vân Nội </t>
  </si>
  <si>
    <t xml:space="preserve">THI MAI HUONG </t>
  </si>
  <si>
    <t>ntmh.maihuong7878@gmail.com</t>
  </si>
  <si>
    <t>001178021868</t>
  </si>
  <si>
    <t>https://drive.google.com/open?id=1RLNdcYd6nbmpArOstb5T6vxcdg-4aqs9</t>
  </si>
  <si>
    <t>https://drive.google.com/open?id=1jg0tydedKrW5pWm4RLn0GCQJBOqNLl5x</t>
  </si>
  <si>
    <t>THPT TIẾN THỊNH</t>
  </si>
  <si>
    <t>THI NGA</t>
  </si>
  <si>
    <t>Nguyennga218@gmail.com</t>
  </si>
  <si>
    <t>035185004411</t>
  </si>
  <si>
    <t>https://drive.google.com/open?id=1qsqELRBE4PmS7st53zN8W79n-TwL2mc0</t>
  </si>
  <si>
    <t>https://drive.google.com/open?id=1DMXIRXBf7pj97P5saYyegAOgAC1MkNKV</t>
  </si>
  <si>
    <t>THI NHUNG</t>
  </si>
  <si>
    <t>nhungntda.1978@gmail.com</t>
  </si>
  <si>
    <t>001178029456</t>
  </si>
  <si>
    <t>https://drive.google.com/open?id=115LnKXYa_W97LSBtBoXVt9Dqr7IVcz-Y</t>
  </si>
  <si>
    <t>https://drive.google.com/open?id=1anoiHCNE9o25OZiOPK7DiS8-FU_ZdKfR</t>
  </si>
  <si>
    <t>THI PHUONG</t>
  </si>
  <si>
    <t>phuonga22276@gmail.com</t>
  </si>
  <si>
    <t>001176053581</t>
  </si>
  <si>
    <t>https://drive.google.com/open?id=18e8wjAssBnFIw7wwKWG6YqPk-f8248xk</t>
  </si>
  <si>
    <t>https://drive.google.com/open?id=1R1yCIWiy1A7YymdOuqMJC7jMSRLCEsPD</t>
  </si>
  <si>
    <t>THI PHUONG ANH</t>
  </si>
  <si>
    <t>thanhp.anh@gmail.com</t>
  </si>
  <si>
    <t>001178003953</t>
  </si>
  <si>
    <t>https://drive.google.com/open?id=1CMdqhr0lW4EeMy9BPZKQNZIbW1oZ0umj</t>
  </si>
  <si>
    <t>https://drive.google.com/open?id=1HZQOoH9mZiUPWJPxF4Fas1ckGvFn9Fsl</t>
  </si>
  <si>
    <t>THI QUYNH THU</t>
  </si>
  <si>
    <t>quynhthu1912@gmail.com</t>
  </si>
  <si>
    <t>001186019155</t>
  </si>
  <si>
    <t>https://drive.google.com/open?id=1sj4QiuZ0gX_akpX_3c6vLhHO90lQhAGW</t>
  </si>
  <si>
    <t>https://drive.google.com/open?id=1lhhR9ODsYJVG5DMgHNNY_ESxTaoaa6Xy</t>
  </si>
  <si>
    <t>THI THAM</t>
  </si>
  <si>
    <t>tham11101978@gmail.com</t>
  </si>
  <si>
    <t>001178010346</t>
  </si>
  <si>
    <t>https://drive.google.com/open?id=1Aa0wSTbVYRfN0zmJ2cau4uC0mR8bC1ov</t>
  </si>
  <si>
    <t>https://drive.google.com/open?id=1byzHs6nPN8ZiCUchYaVMO0617p6_sUR0</t>
  </si>
  <si>
    <t>THI THAO</t>
  </si>
  <si>
    <t>thaoml51@gmail.com</t>
  </si>
  <si>
    <t>001176040670</t>
  </si>
  <si>
    <t>https://drive.google.com/open?id=1qSRKOc0ImDhECfvUA_vlBFXEAsM-nY4M</t>
  </si>
  <si>
    <t>https://drive.google.com/open?id=1m6guaRKU7WDo9PsXhOrQPOtorN8uXYh4</t>
  </si>
  <si>
    <t>THI THINH</t>
  </si>
  <si>
    <t>nguyenthinhtda@gmail.com</t>
  </si>
  <si>
    <t>001180020741</t>
  </si>
  <si>
    <t>https://drive.google.com/open?id=1S7KW3h9p7yd0tq77KZarhQCRcQ_9OM2R</t>
  </si>
  <si>
    <t>https://drive.google.com/open?id=1AjDKMWjXa0NBd7_Z1aE810eCHYkEc4tN</t>
  </si>
  <si>
    <t>THI THU HUONG</t>
  </si>
  <si>
    <t>nguyenthuhuong0196@gmail.com</t>
  </si>
  <si>
    <t>001194006005</t>
  </si>
  <si>
    <t>https://drive.google.com/open?id=1MY5nkCD2x5MqQazFOlWoVk3pGAxEQe_f</t>
  </si>
  <si>
    <t>https://drive.google.com/open?id=1F45gPBHCAACuTR58pK4ONiugtM4BAGmf</t>
  </si>
  <si>
    <t>L10</t>
  </si>
  <si>
    <t>THI THUY</t>
  </si>
  <si>
    <t>thuyhuyen75@gmail.com</t>
  </si>
  <si>
    <t>001175045442</t>
  </si>
  <si>
    <t>THI YEN</t>
  </si>
  <si>
    <t>yennguyenyen1975@gmail.com</t>
  </si>
  <si>
    <t>001175014156</t>
  </si>
  <si>
    <t>https://drive.google.com/open?id=12PN8RIHT8qCVZ9rGtSTqyxdl6w8eC0ri</t>
  </si>
  <si>
    <t>https://drive.google.com/open?id=1NpoPjYDrvLzjXRKo6R8uz6HLfgp1SsKx</t>
  </si>
  <si>
    <t xml:space="preserve">THCS Văn Khê </t>
  </si>
  <si>
    <t xml:space="preserve">VAN DUNG </t>
  </si>
  <si>
    <t>vandungnguyen79@gmail.com</t>
  </si>
  <si>
    <t>001079050226</t>
  </si>
  <si>
    <t>https://drive.google.com/open?id=1ujxJESguLglccH0ktyRWWbVIQVKhUshU</t>
  </si>
  <si>
    <t>https://drive.google.com/open?id=1-aDHF-3L-B7AbtzzbjqSR3MSutHO24ka</t>
  </si>
  <si>
    <t>VAN KHIEM</t>
  </si>
  <si>
    <t>khiemnv1977@gmail.com</t>
  </si>
  <si>
    <t>001077024738</t>
  </si>
  <si>
    <t>https://drive.google.com/open?id=1pq8bYx0ML9Es3FcMbhXYZxQH3exPB2d6</t>
  </si>
  <si>
    <t>https://drive.google.com/open?id=1D-YsPzmJ26J_dpcWwQRmWfHlXGda_ibY</t>
  </si>
  <si>
    <t>NHU</t>
  </si>
  <si>
    <t>THI TOAN NĂNG</t>
  </si>
  <si>
    <t>nguyenquocdongnang@gmail.com</t>
  </si>
  <si>
    <t>001177009345</t>
  </si>
  <si>
    <t>https://drive.google.com/open?id=18uEOc06IfM6nvRE8QdPaj-5mLMKpzDzn</t>
  </si>
  <si>
    <t>https://drive.google.com/open?id=16B9X4POr_VAAUSnzk5ce_3Y3hT1HB-9x</t>
  </si>
  <si>
    <t>PHAM</t>
  </si>
  <si>
    <t>THI CUU</t>
  </si>
  <si>
    <t>rose@gmail.com</t>
  </si>
  <si>
    <t>001176046134</t>
  </si>
  <si>
    <t>https://drive.google.com/open?id=1gaefBEVNRwUUsR9QE_RmWoG08XNf5p1z</t>
  </si>
  <si>
    <t>https://drive.google.com/open?id=1POkUaRAcdYUlI_H62a0Lecv3WF5vfGWO</t>
  </si>
  <si>
    <t>THCS Tiên Dược</t>
  </si>
  <si>
    <t>THI HA</t>
  </si>
  <si>
    <t>0964014755</t>
  </si>
  <si>
    <t>phamha180175@gmail.com</t>
  </si>
  <si>
    <t>THI HONG THUY</t>
  </si>
  <si>
    <t>thuyphongtoantruc@gmail.com</t>
  </si>
  <si>
    <t>001179028050</t>
  </si>
  <si>
    <t>https://drive.google.com/open?id=12N4dEr-PxMHn-SR3SKxG1cic6zbVXnDi</t>
  </si>
  <si>
    <t>https://drive.google.com/open?id=1V9W46N7TR2t3q0h7M14BmZ8j_7PK9XnH</t>
  </si>
  <si>
    <t>THI NGOAN</t>
  </si>
  <si>
    <t>hungngoan1977@gmail.com</t>
  </si>
  <si>
    <t>035177003912</t>
  </si>
  <si>
    <t>https://drive.google.com/open?id=1D1X7neiq8ARAgYbnZTr2SuT91QqLFhyW</t>
  </si>
  <si>
    <t>https://drive.google.com/open?id=1uwhJQNwW9cvr0xSKqL6FVQdouA6YMg3G</t>
  </si>
  <si>
    <t>PHAN</t>
  </si>
  <si>
    <t>THI THU PHUONG</t>
  </si>
  <si>
    <t>thaivnkod@gmail.com</t>
  </si>
  <si>
    <t>001180056849</t>
  </si>
  <si>
    <t>https://drive.google.com/open?id=1hFQBqHpuBBCWyZV3yj-KfA14mmzVCTXD</t>
  </si>
  <si>
    <t>https://drive.google.com/open?id=14rMLANDocC03f3FTZsChzBst810YGxZ6</t>
  </si>
  <si>
    <t>PHUNG</t>
  </si>
  <si>
    <t>THI KIM THAO</t>
  </si>
  <si>
    <t>thaodu77@gmail.com</t>
  </si>
  <si>
    <t>001177009537</t>
  </si>
  <si>
    <t>https://drive.google.com/open?id=1ulIT4bxf1lWRPqyMMJVYF7sChAUKLsQd</t>
  </si>
  <si>
    <t>https://drive.google.com/open?id=1wyD0GN-qkzIQQtFZVVZNeweV68mYjT-L</t>
  </si>
  <si>
    <t>TA</t>
  </si>
  <si>
    <t>QUANG NGUYEN</t>
  </si>
  <si>
    <t>nguyenquangta75@gmail.com</t>
  </si>
  <si>
    <t>001075010580</t>
  </si>
  <si>
    <t>https://drive.google.com/open?id=1-Alf5l4mgUoJRnb9-wWrtHRmdXapJcXO</t>
  </si>
  <si>
    <t>https://drive.google.com/open?id=1Q48qeg4nda5UpqGACWwSYxt0NaAgJ4oD</t>
  </si>
  <si>
    <t>TRAN</t>
  </si>
  <si>
    <t xml:space="preserve"> THI THU HIEN</t>
  </si>
  <si>
    <t>tranhientd1977@gmail.com</t>
  </si>
  <si>
    <t>https://drive.google.com/open?id=1QIuu9TQyxMgbIoytZmjsZZum_podiezO</t>
  </si>
  <si>
    <t>https://drive.google.com/open?id=1hKPG2FhVKkFjRBNYMBNvI9tUYotAkL6x</t>
  </si>
  <si>
    <t>https://drive.google.com/open?id=1wwRQO5DiGMgM5-VzysSHz7tB6Wnl__W1</t>
  </si>
  <si>
    <t>THPT NGỌC TẢO</t>
  </si>
  <si>
    <t xml:space="preserve"> THI TRANG</t>
  </si>
  <si>
    <t>tantrang040521@gmail.com</t>
  </si>
  <si>
    <t>001187041867</t>
  </si>
  <si>
    <t>https://drive.google.com/open?id=1CkBw_5EofgvJGjipFbRJtb6RzgdqPIrn</t>
  </si>
  <si>
    <t>https://drive.google.com/open?id=1l1-PLhhcQVN1DSvpeZK6786QIjv7eifU</t>
  </si>
  <si>
    <t>MAI HUONG</t>
  </si>
  <si>
    <t>hoangtruong19732014@gmail.com</t>
  </si>
  <si>
    <t>001175023937</t>
  </si>
  <si>
    <t>https://drive.google.com/open?id=1-91pUTfGiy9Otrc9Xr9KFiDwtSk9Jszs</t>
  </si>
  <si>
    <t>https://drive.google.com/open?id=1tkgppJ6nrETxbDlQuiglyIMdPxjljzwZ</t>
  </si>
  <si>
    <t>THI BICH HIEN</t>
  </si>
  <si>
    <t>bichhien1td@gmail.com</t>
  </si>
  <si>
    <t>026179008039</t>
  </si>
  <si>
    <t>https://drive.google.com/open?id=1I4BAF6XUtXX-SDHRlz1Axvznhf9kv65M</t>
  </si>
  <si>
    <t>https://drive.google.com/open?id=18kfHsjSD0Om9JhaH6tEkJnQPce3EzBK9</t>
  </si>
  <si>
    <t>THI HUE</t>
  </si>
  <si>
    <t>Huetranc3tg@gmail.com</t>
  </si>
  <si>
    <t>001176004956</t>
  </si>
  <si>
    <t>https://drive.google.com/open?id=1yTSp_qfbMXc4yAWVcOPNhSwZGqlgpiHd</t>
  </si>
  <si>
    <t>https://drive.google.com/open?id=14J1feT_McbeVB892zc93SHTECIssEt0K</t>
  </si>
  <si>
    <t>TH Xuân Canh Đông Anh</t>
  </si>
  <si>
    <t>L5</t>
  </si>
  <si>
    <t>THI THANH TAM</t>
  </si>
  <si>
    <t xml:space="preserve">puremind315@gmail.com </t>
  </si>
  <si>
    <t>026183003026</t>
  </si>
  <si>
    <t>https://drive.google.com/open?id=14kRE3Vpa70p_-kVEJSz6oDSZq0zCrKlB</t>
  </si>
  <si>
    <t>https://drive.google.com/open?id=1k0v-dAgn5O9dWlU84szSAu-offWvxKkk</t>
  </si>
  <si>
    <t>E032337481</t>
  </si>
  <si>
    <t>https://drive.google.com/open?id=1n5GtQOB58jyc2u3l3QTSevHX2I0cBTXU</t>
  </si>
  <si>
    <t>THI THU HIEN</t>
  </si>
  <si>
    <t>hiethu197620@gmail.com</t>
  </si>
  <si>
    <t>001176040741</t>
  </si>
  <si>
    <t>V.07.04.12</t>
  </si>
  <si>
    <t>TRINH</t>
  </si>
  <si>
    <t>huongnn227@gmail.com</t>
  </si>
  <si>
    <t>001175013832</t>
  </si>
  <si>
    <t>https://drive.google.com/open?id=1J1ekWLYHKeU8acI7UvmbWFIzZ6yyHIdP</t>
  </si>
  <si>
    <t>https://drive.google.com/open?id=1DOzR3Fzc3ikJH83onVe-ImCoZcpycOkC</t>
  </si>
  <si>
    <t xml:space="preserve">THPT ĐOÀN KẾT HAI BÀ TRƯNG </t>
  </si>
  <si>
    <t>VO</t>
  </si>
  <si>
    <t xml:space="preserve">THI THU HƯƠNG </t>
  </si>
  <si>
    <t>vohuong2078@gmail.com</t>
  </si>
  <si>
    <t>‘042178004339</t>
  </si>
  <si>
    <t>https://drive.google.com/open?id=1Riue2Ulj1j_iAtEfX_tlu4rw_uTY4sCK</t>
  </si>
  <si>
    <t>https://drive.google.com/open?id=1H8ygUB3QcajeNK_zYhNJ5dvRU0XyBpAO</t>
  </si>
  <si>
    <t>https://drive.google.com/open?id=1SrZd5Ew7a9Nyi4_jDr7OMg1pMWPSUt-Q</t>
  </si>
  <si>
    <t>VU</t>
  </si>
  <si>
    <t>HUNG QUANG</t>
  </si>
  <si>
    <t>hungquang1975@gmail.com</t>
  </si>
  <si>
    <t>001075011375</t>
  </si>
  <si>
    <t>https://drive.google.com/open?id=1eGA_OQmubU7ymPQitJJivKSZmWi2t-nu</t>
  </si>
  <si>
    <t>https://drive.google.com/open?id=1IaosiBJ4Qj4L84jiVPx6YmchN_XYoRnQ</t>
  </si>
  <si>
    <t>Giáo viên tiểu học hạng III – V.07.03.29</t>
  </si>
  <si>
    <t>THI KIM THANH</t>
  </si>
  <si>
    <t>vuthikimthanh2013@gmail.com</t>
  </si>
  <si>
    <t>https://drive.google.com/open?id=1fw7LYCFCVWnovU5SGioLpwxUOMLP4CXS</t>
  </si>
  <si>
    <t>https://drive.google.com/open?id=1yFq8_Yp9J2m0N3SuPZJjGRaH4_i8xRiO</t>
  </si>
  <si>
    <t>Ho va ten</t>
  </si>
  <si>
    <t>Column1</t>
  </si>
  <si>
    <t>NGO THI HONG DUONG</t>
  </si>
  <si>
    <t>NGO THI THANH THUY</t>
  </si>
  <si>
    <t>NGUYEN THI HONG VAN</t>
  </si>
  <si>
    <t>NGUYEN THI THAO</t>
  </si>
  <si>
    <t>NGUYEN THI YEN</t>
  </si>
  <si>
    <t>PHAM THI HA</t>
  </si>
  <si>
    <t>PHUNG THI KIM THAO</t>
  </si>
  <si>
    <t>TRAN THI THU HIEN</t>
  </si>
  <si>
    <t>TRAN THI THANH TAM</t>
  </si>
  <si>
    <t>VU HUNG QUANG</t>
  </si>
  <si>
    <t>Column2</t>
  </si>
  <si>
    <t>Column3</t>
  </si>
  <si>
    <t>Column4</t>
  </si>
  <si>
    <t>DUONG THI THANH HUONG</t>
  </si>
  <si>
    <t>LE DUC VINH</t>
  </si>
  <si>
    <t>LE THI DUYEN</t>
  </si>
  <si>
    <t>NGUYEN THI BICH LOAN</t>
  </si>
  <si>
    <t>NGUYEN THI MAI</t>
  </si>
  <si>
    <t>NGUYEN TU VINH</t>
  </si>
  <si>
    <t>TRINH THI LE HANG</t>
  </si>
  <si>
    <t>VU THI MAN</t>
  </si>
  <si>
    <t>VUONG PHUONG LAM</t>
  </si>
  <si>
    <t>VUONG THI HANH</t>
  </si>
  <si>
    <t>BUI MAI LAN</t>
  </si>
  <si>
    <t>Bui Mai Lan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</si>
  <si>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</si>
  <si>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</si>
  <si>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</si>
  <si>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</si>
  <si>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</si>
  <si>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</si>
  <si>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</si>
  <si>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</si>
  <si>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</si>
  <si>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</si>
  <si>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</si>
  <si>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</si>
  <si>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</si>
  <si>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</si>
  <si>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 xml:space="preserve">Đơn vị giảng dạy </t>
  </si>
  <si>
    <t xml:space="preserve">Chọn giấy tờ tùy thân: CCCD </t>
  </si>
  <si>
    <t>Số Hộ chiếu</t>
  </si>
  <si>
    <t>Ngày hết hạn hộ chiếu</t>
  </si>
  <si>
    <t>Ngày thi nói</t>
  </si>
  <si>
    <t>Địa chỉ email</t>
  </si>
  <si>
    <t>Địa chỉ:</t>
  </si>
  <si>
    <t>https://drive.google.com/open?id=1Rj4pAwCv-xueteofcmDvhrGFrNd-BjTS</t>
  </si>
  <si>
    <t>https://drive.google.com/open?id=1tffdmoxBF_rkmGKbRxdgt-qVhcc00VU1</t>
  </si>
  <si>
    <t>https://drive.google.com/open?id=1QFRJVZAUDIYaU0ZB4MT8Vq97UklBYumo</t>
  </si>
  <si>
    <t>https://drive.google.com/open?id=1L8oRPBnDS2GkFMfqVd6MGhJMqG3oAvWV</t>
  </si>
  <si>
    <t>V07.04.11</t>
  </si>
  <si>
    <t>MAI LAN</t>
  </si>
  <si>
    <t>BUI</t>
  </si>
  <si>
    <t>buimailan8@gmail.com</t>
  </si>
  <si>
    <t>025177005125</t>
  </si>
  <si>
    <t>https://drive.google.com/open?id=1xx2Y1i25rROVYjaONPUCEGtDTi1q5WrU</t>
  </si>
  <si>
    <t>https://drive.google.com/open?id=18tVQ_jXYleMAveZwVmqQxq_UB-oHS0E8</t>
  </si>
  <si>
    <t>THI BICH HUONG</t>
  </si>
  <si>
    <t>https://drive.google.com/open?id=1sBV3GUvsBKFUQ6XTjrJYRsSLqYHv-6RF</t>
  </si>
  <si>
    <t>https://drive.google.com/open?id=1Rqh7d5bdNkChWOmRKorXvcQHceRrYb4s</t>
  </si>
  <si>
    <t>THI TU UYEN</t>
  </si>
  <si>
    <t>DAM</t>
  </si>
  <si>
    <t>damtuuyen@gmail.com</t>
  </si>
  <si>
    <t>001178022441</t>
  </si>
  <si>
    <t>https://drive.google.com/open?id=1lKgxLmsGCAfv0DKWLh5ixR442gBg3NyO</t>
  </si>
  <si>
    <t>https://drive.google.com/open?id=1Si466HkaUhOsD_Fw1dP9zK6rMYVnD_9o</t>
  </si>
  <si>
    <t>001178013783</t>
  </si>
  <si>
    <t>001196039158</t>
  </si>
  <si>
    <t>https://drive.google.com/open?id=12KK3ioOB8ewVD1j7dZsnsk85oV8liwzE</t>
  </si>
  <si>
    <t>https://drive.google.com/open?id=1APyDwa6ZYfojg-SxePl0uG8S6F3glDQ-</t>
  </si>
  <si>
    <t>TTTrường học nơi thầy/cô đang công tác</t>
  </si>
  <si>
    <t>Ảnh Hộ chiếu</t>
  </si>
  <si>
    <t>Chọn ngày thi</t>
  </si>
  <si>
    <t>Giáo viên tiểu học hạng III - V07.03.08</t>
  </si>
  <si>
    <t>thudiep77@gmail.com</t>
  </si>
  <si>
    <t>THI THU DIEP</t>
  </si>
  <si>
    <t>0904326943</t>
  </si>
  <si>
    <t>001177019255</t>
  </si>
  <si>
    <t>https://drive.google.com/open?id=1ZWWsSx8ATea4tIqWLGDY2oxtBCJD_Iav</t>
  </si>
  <si>
    <t>https://drive.google.com/open?id=1rXv94HH02ZQviCcB1zQRnHG_f4JmhHWJ</t>
  </si>
  <si>
    <t>16/12/2025</t>
  </si>
  <si>
    <t>Thcs Minh Trí</t>
  </si>
  <si>
    <t>habinhquytrong@gmail.com</t>
  </si>
  <si>
    <t>0976847610</t>
  </si>
  <si>
    <t>019177000235</t>
  </si>
  <si>
    <t>https://drive.google.com/open?id=1wmU3ltsAoWWKdzgQdanZztasmfP0Rzbd</t>
  </si>
  <si>
    <t>https://drive.google.com/open?id=1IoJHKGcZGr2RaQNr6ORnPiw5JMpdUMCz</t>
  </si>
  <si>
    <t>18/12/2025</t>
  </si>
  <si>
    <t>daothuyha79@gmail.com</t>
  </si>
  <si>
    <t>DAO</t>
  </si>
  <si>
    <t>THI THUY HA</t>
  </si>
  <si>
    <t>0388669572</t>
  </si>
  <si>
    <t>008179000026</t>
  </si>
  <si>
    <t>https://drive.google.com/open?id=1BGEUsv9ZgyS1Kge4gz_tBEhiDaMiqyt3</t>
  </si>
  <si>
    <t>https://drive.google.com/open?id=1k-06n8xeCrKIGyFXUlFYtyWXR-YlnpJp</t>
  </si>
  <si>
    <t>Tiểu học Tiền Phong A</t>
  </si>
  <si>
    <t>hoadtpascal@gmail.com</t>
  </si>
  <si>
    <t>DINH</t>
  </si>
  <si>
    <t>THI HOA</t>
  </si>
  <si>
    <t>0969355629</t>
  </si>
  <si>
    <t>001192033920</t>
  </si>
  <si>
    <t>https://drive.google.com/open?id=1GOP4XnwcWx5mWdGpvQcp5cp4S3bl8xqS</t>
  </si>
  <si>
    <t>https://drive.google.com/open?id=1TF-aPrfFv9VHqK99xRCSATkafcSDTrrA</t>
  </si>
  <si>
    <t>17/12/2025</t>
  </si>
  <si>
    <t>doanthiloi@gmail.com</t>
  </si>
  <si>
    <t>DOAN</t>
  </si>
  <si>
    <t>THI LOI</t>
  </si>
  <si>
    <t>0976271662</t>
  </si>
  <si>
    <t>001179005747</t>
  </si>
  <si>
    <t>https://drive.google.com/open?id=1YwVSxSg5NSMJgByOqDMt3M_p8DaByOjL</t>
  </si>
  <si>
    <t>https://drive.google.com/open?id=1oCxPJnKIP_NGDZxV4PH0I5FLjaiv-Hee</t>
  </si>
  <si>
    <t>Tiểu học Thư Lâm</t>
  </si>
  <si>
    <t>Duongthuphuong.93@gmail.com</t>
  </si>
  <si>
    <t xml:space="preserve">Duong </t>
  </si>
  <si>
    <t>Thi Thu Phuong</t>
  </si>
  <si>
    <t>0972469409</t>
  </si>
  <si>
    <t>001193046294</t>
  </si>
  <si>
    <t>https://drive.google.com/open?id=1p7XOR5gxiLldvHdAjAowfABek3eDhXBl</t>
  </si>
  <si>
    <t>https://drive.google.com/open?id=1cD7mFNjKfd2zfrc8kaloWjzo5iU7Suxm</t>
  </si>
  <si>
    <t>15/12/2025</t>
  </si>
  <si>
    <t>leanhtuan091179@gmail.com</t>
  </si>
  <si>
    <t>ANH TUAN</t>
  </si>
  <si>
    <t>0942423355</t>
  </si>
  <si>
    <t>001079024981</t>
  </si>
  <si>
    <t>https://drive.google.com/open?id=1rPcjdclhbNdzJ-AI4u33X30rW6zzB2lS</t>
  </si>
  <si>
    <t>https://drive.google.com/open?id=188NIrZ7TE7TBLkvw7k_NSLIu-9aHXlYY</t>
  </si>
  <si>
    <t>lyhai1979@gmail.com</t>
  </si>
  <si>
    <t>THI LY HAI</t>
  </si>
  <si>
    <t>0989964420</t>
  </si>
  <si>
    <t>‘001179007111</t>
  </si>
  <si>
    <t>https://drive.google.com/open?id=1BschNrTmiky-4MoqdkRzYsd_A522QtpF</t>
  </si>
  <si>
    <t>https://drive.google.com/open?id=1oUTRB5vhlQfy31yM8GxrMZrTYUQw1577</t>
  </si>
  <si>
    <t>lehaivk@gmail.com</t>
  </si>
  <si>
    <t>THI HAI</t>
  </si>
  <si>
    <t>0388388444</t>
  </si>
  <si>
    <t>001184039143</t>
  </si>
  <si>
    <t>https://drive.google.com/open?id=1tGgAPnJi5qebIT3ehw6jChX9-xXIMn4-</t>
  </si>
  <si>
    <t>https://drive.google.com/open?id=13pthxpR4o9g3YWWjoNWZfjT2KR0tF8jr</t>
  </si>
  <si>
    <t>Lethihai.1977@gmail.com.</t>
  </si>
  <si>
    <t>0984605077</t>
  </si>
  <si>
    <t>001177046284</t>
  </si>
  <si>
    <t>https://drive.google.com/open?id=1fYEIjSocprHGzuMNVJmSb2ZzN_JEWB5g</t>
  </si>
  <si>
    <t>https://drive.google.com/open?id=1OMVkMidW9QT0nkqpKVEM3Vw4ae0oEDQN</t>
  </si>
  <si>
    <t>Lethihai.1977@gmail.com</t>
  </si>
  <si>
    <t>THPT LIÊN HÀ</t>
  </si>
  <si>
    <t>thuyhagiaovien@gmail.com</t>
  </si>
  <si>
    <t>0396202193</t>
  </si>
  <si>
    <t>001179014240</t>
  </si>
  <si>
    <t>https://drive.google.com/open?id=1WVR4_0OTDyfumsMVJ4yu5kbV0klXeWLg</t>
  </si>
  <si>
    <t>https://drive.google.com/open?id=19OAKP-uxDg-GAeTCO0vTcjwbcBP0-i7_</t>
  </si>
  <si>
    <t>Lớp 18</t>
  </si>
  <si>
    <t>tuduyen118@gmail.com</t>
  </si>
  <si>
    <t xml:space="preserve">LE </t>
  </si>
  <si>
    <t>THI DUYEN</t>
  </si>
  <si>
    <t>0985621118</t>
  </si>
  <si>
    <t>001184030240</t>
  </si>
  <si>
    <t>https://drive.google.com/open?id=1iMCchZ5AyIOQq9gK2XPXFQIbTPhe7XTc</t>
  </si>
  <si>
    <t>https://drive.google.com/open?id=1ttoI-h45jnbY6zC7eWV3iEtMBKurew2y</t>
  </si>
  <si>
    <t>Lớp 24</t>
  </si>
  <si>
    <t>hangnt.donganh@gmail.com</t>
  </si>
  <si>
    <t>THỊ HANG</t>
  </si>
  <si>
    <t>0982987882</t>
  </si>
  <si>
    <t>‘ 001182033283</t>
  </si>
  <si>
    <t>https://drive.google.com/open?id=1YVhODprChWJO27MBm0JJ6YtUoQFuR7BK</t>
  </si>
  <si>
    <t>https://drive.google.com/open?id=1FxVzjJQewQlqOg54Z6cGUroq8Icbl_7a</t>
  </si>
  <si>
    <t>19/12/2025</t>
  </si>
  <si>
    <t>valery.fleur.hn@gmail.com</t>
  </si>
  <si>
    <t>THU TRANG</t>
  </si>
  <si>
    <t>0904599917</t>
  </si>
  <si>
    <t>001179000066</t>
  </si>
  <si>
    <t>https://drive.google.com/open?id=1Q1DUp-C_HrFb0zbIf7Zi59h6_TXbxZP_</t>
  </si>
  <si>
    <t>https://drive.google.com/open?id=192xZRfiIidG3CQnZZOid4dnzEjsh4f7A</t>
  </si>
  <si>
    <t>Lớp 23</t>
  </si>
  <si>
    <t>hongyenthpm@gmail.com</t>
  </si>
  <si>
    <t>THI HONG YEN</t>
  </si>
  <si>
    <t>0972398363</t>
  </si>
  <si>
    <t>001183053186</t>
  </si>
  <si>
    <t>https://drive.google.com/open?id=1Y8IZETXNqYMRJMJDr33lhLZa1T2aZOdx</t>
  </si>
  <si>
    <t>https://drive.google.com/open?id=1SKI9bvhE2mrl-GVHI67NHlrwD2uoe3gN</t>
  </si>
  <si>
    <t>Giáo viên tiểu học hạng IV - V.07.03.09</t>
  </si>
  <si>
    <t>Lớp 19</t>
  </si>
  <si>
    <t>bangvan10@gmail.com</t>
  </si>
  <si>
    <t>VAN BANG</t>
  </si>
  <si>
    <t>0386186911</t>
  </si>
  <si>
    <t>001085037860</t>
  </si>
  <si>
    <t>https://drive.google.com/open?id=1HQWyfL6caY11Am6Gkm5-2itumjwNdhD8</t>
  </si>
  <si>
    <t>https://drive.google.com/open?id=179b3CUGd2t_8OC3wnQ05GBZgbcqZVqSw</t>
  </si>
  <si>
    <t>TH Thiên Lộc</t>
  </si>
  <si>
    <t>honghueda80@gmail.com</t>
  </si>
  <si>
    <t>THI HONG HUE</t>
  </si>
  <si>
    <t>0977887480</t>
  </si>
  <si>
    <t>001180044201</t>
  </si>
  <si>
    <t>https://drive.google.com/open?id=1cE8-pmCNtp1V0ugjx1fihJMvLHZCqkAu</t>
  </si>
  <si>
    <t>https://drive.google.com/open?id=1dLkbPuQLmBqKO34NdDiJLGbWpT3Zp8nF</t>
  </si>
  <si>
    <t>cham06101977@gmail.com</t>
  </si>
  <si>
    <t>THI CHAM</t>
  </si>
  <si>
    <t>0384061977</t>
  </si>
  <si>
    <t>001177030526</t>
  </si>
  <si>
    <t>https://drive.google.com/open?id=1hC3irqAWkivRBCHIEcWOc7m62-Ycmhhf</t>
  </si>
  <si>
    <t>https://drive.google.com/open?id=1S9f36O0qjR6NMdiDE9qaPIRcq8SgiO1I</t>
  </si>
  <si>
    <t>nguyenhoailinh2992@gmail.com</t>
  </si>
  <si>
    <t>HOAI LINH</t>
  </si>
  <si>
    <t>0333088414</t>
  </si>
  <si>
    <t>001192049535</t>
  </si>
  <si>
    <t>https://drive.google.com/open?id=10kBlMmHKgHVNbLCHghtnvnwIQ6DQ1o2t</t>
  </si>
  <si>
    <t>https://drive.google.com/open?id=1ODr72apdTEuuRprPhUxpFrEcA_AGCBmb</t>
  </si>
  <si>
    <t>THCS TRUNG GIÃ</t>
  </si>
  <si>
    <t>https://drive.google.com/open?id=1CI9i5vBl_TH2L4Bcv7zfqev3F94KKBhY</t>
  </si>
  <si>
    <t>https://drive.google.com/open?id=1N06WKuo2aa8AXzapvWxuG28YitgSu68r</t>
  </si>
  <si>
    <t>Ntha203vh@gmail.com</t>
  </si>
  <si>
    <t>0966 888 791</t>
  </si>
  <si>
    <t>001191025902</t>
  </si>
  <si>
    <t>https://drive.google.com/open?id=1l-1w0C5T2r9XoZw0pPFP1Jkc2FoYONH1</t>
  </si>
  <si>
    <t>https://drive.google.com/open?id=1mPVPN3S5_M7qZBcvgt2BQItGG2ttQGl7</t>
  </si>
  <si>
    <t>Lananhtux1@gmail.com</t>
  </si>
  <si>
    <t>THI LAN ANH</t>
  </si>
  <si>
    <t>0338082567</t>
  </si>
  <si>
    <t>001178021999</t>
  </si>
  <si>
    <t>https://drive.google.com/open?id=1YODmxbtxZ8-V-jkuLK4vEFHPlIbH7yor</t>
  </si>
  <si>
    <t>https://drive.google.com/open?id=1FKXOL8zq3hmN30HaPhXgF1E2Vrvf_Eel</t>
  </si>
  <si>
    <t>Nguyenhalmb1982@gmail.com</t>
  </si>
  <si>
    <t>0986328256</t>
  </si>
  <si>
    <t>001182042023</t>
  </si>
  <si>
    <t>https://drive.google.com/open?id=1k4TyuYvSb8-zIGnmHRtai5YtIwk9g59p</t>
  </si>
  <si>
    <t>https://drive.google.com/open?id=1jU5et4qUD4Wkecxwp3IW0vYLHAXTuU9b</t>
  </si>
  <si>
    <t>Lớp 21</t>
  </si>
  <si>
    <t>hoa.k38a@gmail.com</t>
  </si>
  <si>
    <t>0968182882</t>
  </si>
  <si>
    <t>001194046711</t>
  </si>
  <si>
    <t>https://drive.google.com/open?id=1FoqjnGNZc5iBKsxaffXEJGAgFro7Y-XM</t>
  </si>
  <si>
    <t>https://drive.google.com/open?id=14GP8gtM8ItKXWQ-AnvabqB-bahsfi8b1</t>
  </si>
  <si>
    <t>TT GDNN-GDTX Đông Anh</t>
  </si>
  <si>
    <t>hanguyenhvn210@gmail.com</t>
  </si>
  <si>
    <t>0981775918</t>
  </si>
  <si>
    <t>024182000152</t>
  </si>
  <si>
    <t>https://drive.google.com/open?id=1m-UO4pHmum-WBQr1XLqquQw2ML-oPN0g</t>
  </si>
  <si>
    <t>https://drive.google.com/open?id=1ddJmb2Me3wY-WG_JLYmy2JcDz5CD2jrq</t>
  </si>
  <si>
    <t>huongcoi.nguyenthu@gmail.com</t>
  </si>
  <si>
    <t xml:space="preserve">NGUYEN </t>
  </si>
  <si>
    <t>THU HUONG</t>
  </si>
  <si>
    <t>0983273682</t>
  </si>
  <si>
    <t>026182001327</t>
  </si>
  <si>
    <t>https://drive.google.com/open?id=1D3IMKLKM-IQbQqD1yWPLPH9jT-cc1tSZ</t>
  </si>
  <si>
    <t>https://drive.google.com/open?id=11tbHF9JQRqrmBVQnJNTHAczVbK9Zkp9r</t>
  </si>
  <si>
    <t>THCS VĂN KHÊ</t>
  </si>
  <si>
    <t>snow261181@gmail.com</t>
  </si>
  <si>
    <t>THI TUYET</t>
  </si>
  <si>
    <t>0385505429</t>
  </si>
  <si>
    <t>001181043471</t>
  </si>
  <si>
    <t>https://drive.google.com/open?id=1D_pKyn46sQ0Vb85wZwRrbSOrM_CQljEC</t>
  </si>
  <si>
    <t>https://drive.google.com/open?id=1D95JSEptQa4oVMLdh4wBMFJ3NHbqeV3V</t>
  </si>
  <si>
    <t xml:space="preserve">0966 888 791 </t>
  </si>
  <si>
    <t>https://drive.google.com/open?id=1dJqcQR2k6WdS9TJDZFF-w5Luj0gWLG0f</t>
  </si>
  <si>
    <t>https://drive.google.com/open?id=1IF5HOPUmIhDOUfQ76qk94P0sgcE4B2z4</t>
  </si>
  <si>
    <t>hakhe84@gmail.com</t>
  </si>
  <si>
    <t>THANH HA</t>
  </si>
  <si>
    <t>0987216884</t>
  </si>
  <si>
    <t>001184018522</t>
  </si>
  <si>
    <t>https://drive.google.com/open?id=1_B4KDjGlBB41RBR6VCmoYuWAw0-oKORU</t>
  </si>
  <si>
    <t>https://drive.google.com/open?id=1Ix0riX3nhFUP8LRWXlERQHRnI24f-nEr</t>
  </si>
  <si>
    <t>lepucasp2@gmail.com</t>
  </si>
  <si>
    <t>THI LE</t>
  </si>
  <si>
    <t>0339687926</t>
  </si>
  <si>
    <t>001195026774</t>
  </si>
  <si>
    <t>https://drive.google.com/open?id=1Tg1gELA1Vw9Jdy5EYDAWkHV8Peo0-wA3</t>
  </si>
  <si>
    <t>https://drive.google.com/open?id=1oyDFGacqTvuhA2I5W8BLdL08WCdCkIlD</t>
  </si>
  <si>
    <t>ITed</t>
  </si>
  <si>
    <t>lien230696@gmail.com</t>
  </si>
  <si>
    <t>QUYNH LIEN</t>
  </si>
  <si>
    <t>0338602609</t>
  </si>
  <si>
    <t>001196039783</t>
  </si>
  <si>
    <t>https://drive.google.com/open?id=1P6lDJkVgv5K3i35S_apxvI1ta1oebC--</t>
  </si>
  <si>
    <t>https://drive.google.com/open?id=1uJrotVHFPt-9hQT3sZFUOgSdwvaNHbs-</t>
  </si>
  <si>
    <t>00175019816</t>
  </si>
  <si>
    <t>https://drive.google.com/open?id=1BPr1wDZS8xMlKC8JdjUHqX9rZMuxg6Lb</t>
  </si>
  <si>
    <t>https://drive.google.com/open?id=1US7l937KDc4JN-QCxlE6TaNELwUoRGgA</t>
  </si>
  <si>
    <t>phamthithuthiem@gmail.com</t>
  </si>
  <si>
    <t>THI THU THIEM</t>
  </si>
  <si>
    <t>0979063315</t>
  </si>
  <si>
    <t>001176046317</t>
  </si>
  <si>
    <t>https://drive.google.com/open?id=1SW2xx729yX5qjezO2cIN-FduuD81LGsz</t>
  </si>
  <si>
    <t>https://drive.google.com/open?id=1i57Oh1WNdemeqHVFT8CLlXK7EMiFk-BP</t>
  </si>
  <si>
    <t>THPT Minh PHú</t>
  </si>
  <si>
    <t>lớp 23</t>
  </si>
  <si>
    <t>ngoductrung20112014@gmail.com</t>
  </si>
  <si>
    <t xml:space="preserve">PHAM </t>
  </si>
  <si>
    <t>THI LIEN</t>
  </si>
  <si>
    <t>0394137850</t>
  </si>
  <si>
    <t>001185038680</t>
  </si>
  <si>
    <t>https://drive.google.com/open?id=1jE6ghYENJrBsr3waCnCtkxdmgwXbHmEj</t>
  </si>
  <si>
    <t>https://drive.google.com/open?id=1j0HS2VUgHsjJn1Uo3jxxQZkRKrL4y3AN</t>
  </si>
  <si>
    <t>https://drive.google.com/open?id=1GiguwhMr8-bsAclTVnTA5LL6uNjIXveX</t>
  </si>
  <si>
    <t xml:space="preserve">Trường THCS Bắc Hồng </t>
  </si>
  <si>
    <t>Anlanh18@gmail.com</t>
  </si>
  <si>
    <t xml:space="preserve">THI LANH </t>
  </si>
  <si>
    <t>0966688609</t>
  </si>
  <si>
    <t>034182013999</t>
  </si>
  <si>
    <t>https://drive.google.com/open?id=1-KhyjbWKROVd0dIVsL_JsZynhzEPCb60</t>
  </si>
  <si>
    <t>https://drive.google.com/open?id=1pVoFj5cKvINwq7gceuLTcE1MWcnR9nK2</t>
  </si>
  <si>
    <t>phungthuhuongtulapb@gmail.com</t>
  </si>
  <si>
    <t>0987217009</t>
  </si>
  <si>
    <t>001187032876</t>
  </si>
  <si>
    <t>https://drive.google.com/open?id=1H-b9RDH_l_p0s2sdvATZZ-Ce-HAxXhfw</t>
  </si>
  <si>
    <t>https://drive.google.com/open?id=1gv_J4kYM2u9vE98ERiBINYWa_81mQuV0</t>
  </si>
  <si>
    <t>THCS Thị Trấn Sóc Sơn</t>
  </si>
  <si>
    <t>phuongthao.bgs@gmail.com</t>
  </si>
  <si>
    <t>THI PHUONG THAO</t>
  </si>
  <si>
    <t>0979069209</t>
  </si>
  <si>
    <t>044188000007</t>
  </si>
  <si>
    <t>https://drive.google.com/open?id=1eoDaHyLydXGvo8ieP6VLx4oSM68UwEJb</t>
  </si>
  <si>
    <t>https://drive.google.com/open?id=14iYPF3SqN4xrVZln0JyufKQ8exP5brZ5</t>
  </si>
  <si>
    <t xml:space="preserve">THCS Tiên Dược </t>
  </si>
  <si>
    <t>Lớp 20</t>
  </si>
  <si>
    <t>lam6978@gmail.com</t>
  </si>
  <si>
    <t>THI TAM</t>
  </si>
  <si>
    <t>0983216978</t>
  </si>
  <si>
    <t>‘001178001577</t>
  </si>
  <si>
    <t>https://drive.google.com/open?id=1t7Hum6QG8-U9wIHIVoeHqREN1WcgkjtD</t>
  </si>
  <si>
    <t>https://drive.google.com/open?id=1-qIKzhwzPb7Sutz7FX54xRI2dhTc3ew6</t>
  </si>
  <si>
    <t>tunganh7782@gmail.com</t>
  </si>
  <si>
    <t>THANH TUNG</t>
  </si>
  <si>
    <t>0376669514</t>
  </si>
  <si>
    <t>001182002713</t>
  </si>
  <si>
    <t>https://drive.google.com/open?id=1Hnc_-rHKowpjtLwBkbggtwhWf8cwvBXv</t>
  </si>
  <si>
    <t>https://drive.google.com/open?id=15NhfcUYb2GHMMmZwPjpTnima7CDLqQSl</t>
  </si>
  <si>
    <t>Trường THPT Minh Phú</t>
  </si>
  <si>
    <t>scarletrose0304@gmail.com</t>
  </si>
  <si>
    <t>0982032783</t>
  </si>
  <si>
    <t>014183008863</t>
  </si>
  <si>
    <t>https://drive.google.com/open?id=1Xvu9XkQqrygEcjpP0OjNYQVAxGdhtGhK</t>
  </si>
  <si>
    <t>https://drive.google.com/open?id=1d5B-vryz-ONOZTIinZN1TTeqrzx4TWRv</t>
  </si>
  <si>
    <t>https://drive.google.com/open?id=1z4VYmtbU8zy-cd0qwctaKaz0-mE7uAO2</t>
  </si>
  <si>
    <t>vuthiman80@gmail.com</t>
  </si>
  <si>
    <t>THI MAN</t>
  </si>
  <si>
    <t>0982226498</t>
  </si>
  <si>
    <t>001180005662</t>
  </si>
  <si>
    <t>https://drive.google.com/open?id=1cixyIb5OIWVTvAiNkUzXcDv_mkPSplvD</t>
  </si>
  <si>
    <t>https://drive.google.com/open?id=1rsPNgXXkkoZYdc1oGK7i7F8oqkv_hG3x</t>
  </si>
  <si>
    <t>haothanh304@gmail.com</t>
  </si>
  <si>
    <t>THI HAO</t>
  </si>
  <si>
    <t>0989469910</t>
  </si>
  <si>
    <t>001195004906</t>
  </si>
  <si>
    <t>https://drive.google.com/open?id=1-V0Az6tpuOW57DZZyrk_uHhVFjEaTTNW</t>
  </si>
  <si>
    <t>https://drive.google.com/open?id=1h8odbkqLDsSZX7bCTO-vbdBG3lB-Z0hJ</t>
  </si>
  <si>
    <t>THCS TÂN MINH A</t>
  </si>
  <si>
    <t>L.21</t>
  </si>
  <si>
    <t>Hanhenglish.thcsmaidinh@gmail.com</t>
  </si>
  <si>
    <t>VUONG</t>
  </si>
  <si>
    <t>0961002584</t>
  </si>
  <si>
    <t>001184022018</t>
  </si>
  <si>
    <t>https://drive.google.com/open?id=1Iw15FAAdI71HZ4KuQmpwyLefpafDCL_v</t>
  </si>
  <si>
    <t>https://drive.google.com/open?id=1FPXkyRYT7LJD0UlZVri4Zt_Nz3BdkQQ4</t>
  </si>
  <si>
    <t>lamvuong2108@gmail.com</t>
  </si>
  <si>
    <t xml:space="preserve">VUONG </t>
  </si>
  <si>
    <t xml:space="preserve">PHUONG LAM </t>
  </si>
  <si>
    <t>0383966866</t>
  </si>
  <si>
    <t>‘001180014694</t>
  </si>
  <si>
    <t>https://drive.google.com/open?id=137Cmdqap8N4Cxp1vVe8XUB84PtihQ7tK</t>
  </si>
  <si>
    <t>https://drive.google.com/open?id=1l8uC2qhX5LAYr4vKhOshqw-wuRCU21zc</t>
  </si>
  <si>
    <t>nghiemthinu@gmail.com</t>
  </si>
  <si>
    <t>NGHIEM</t>
  </si>
  <si>
    <t>THI NU</t>
  </si>
  <si>
    <t>0983098873</t>
  </si>
  <si>
    <t>001184017736</t>
  </si>
  <si>
    <t>https://drive.google.com/open?id=1eM26YxTVEvxmsJhtHHOLmuGdMzVEa7sg</t>
  </si>
  <si>
    <t>https://drive.google.com/open?id=1MezhPfJd8mZB7Yi_tHiOT7TnI4pmkp3s</t>
  </si>
  <si>
    <t>angelinnight89@gmail.com</t>
  </si>
  <si>
    <t>THI CUC</t>
  </si>
  <si>
    <t>0947005594</t>
  </si>
  <si>
    <t>001189011826</t>
  </si>
  <si>
    <t>https://drive.google.com/open?id=1-MfX6235DatwgRxhsTiPuZUR9kGWbfUj</t>
  </si>
  <si>
    <t>https://drive.google.com/open?id=1_xB2_3pm-PHhJ7eFJJjA_3jLJgboi2Ed</t>
  </si>
  <si>
    <t>0986997462</t>
  </si>
  <si>
    <t>026176000273</t>
  </si>
  <si>
    <t>https://drive.google.com/open?id=1O5NTjqTuf4GxSWgrGt0XoI9s67XvXWz7</t>
  </si>
  <si>
    <t>https://drive.google.com/open?id=1Q6aIzDtZbXog8FzZHnQoC2djjEM65awO</t>
  </si>
  <si>
    <t>travanhoadoc@gmail.com</t>
  </si>
  <si>
    <t>QUACH</t>
  </si>
  <si>
    <t>THI THANH TRA</t>
  </si>
  <si>
    <t>0982888472</t>
  </si>
  <si>
    <t>001179047464</t>
  </si>
  <si>
    <t>https://drive.google.com/open?id=1zgN44xac1CHlwNVADLR4eWABjx_YvPr8</t>
  </si>
  <si>
    <t>https://drive.google.com/open?id=1X0AC_7NThcZQY26LvWHvJrjB25SOLEyE</t>
  </si>
  <si>
    <t>NAME</t>
  </si>
  <si>
    <t>DAM THI THU DIEP</t>
  </si>
  <si>
    <t>DANG THI HA</t>
  </si>
  <si>
    <t>DAO THI THUY HA</t>
  </si>
  <si>
    <t>DINH THI HOA</t>
  </si>
  <si>
    <t>DOAN THI LOI</t>
  </si>
  <si>
    <t>DUONG  THI THU PHUONG</t>
  </si>
  <si>
    <t>LE ANH TUAN</t>
  </si>
  <si>
    <t>LE THI LY HAI</t>
  </si>
  <si>
    <t>LE THI HAI</t>
  </si>
  <si>
    <t>LE THI THUY HA</t>
  </si>
  <si>
    <t>LE  THI DUYEN</t>
  </si>
  <si>
    <t>NGUYEN THỊ HANG</t>
  </si>
  <si>
    <t>NGUYEN THU TRANG</t>
  </si>
  <si>
    <t>NGUYEN THI HONG YEN</t>
  </si>
  <si>
    <t>NGUYEN VAN BANG</t>
  </si>
  <si>
    <t>NGUYEN THI HONG HUE</t>
  </si>
  <si>
    <t>NGUYEN THI CHAM</t>
  </si>
  <si>
    <t>NGUYEN HOAI LINH</t>
  </si>
  <si>
    <t>NGUYEN THI HA</t>
  </si>
  <si>
    <t>NGUYEN THI LAN ANH</t>
  </si>
  <si>
    <t>NGUYEN THI HOA</t>
  </si>
  <si>
    <t>NGUYEN THI NHUNG</t>
  </si>
  <si>
    <t>NGUYEN  THU HUONG</t>
  </si>
  <si>
    <t>NGUYEN  THI TUYET</t>
  </si>
  <si>
    <t>NGUYEN  THI HA</t>
  </si>
  <si>
    <t>NGUYEN  THANH HA</t>
  </si>
  <si>
    <t>NGUYEN  THI LE</t>
  </si>
  <si>
    <t>PHAM QUYNH LIEN</t>
  </si>
  <si>
    <t>PHAM PHAM THI HA</t>
  </si>
  <si>
    <t>PHAM THI THU THIEM</t>
  </si>
  <si>
    <t>PHAM  THI LIEN</t>
  </si>
  <si>
    <t xml:space="preserve">PHAM  THI LANH </t>
  </si>
  <si>
    <t>PHUNG THU HUONG</t>
  </si>
  <si>
    <t>TRAN THI PHUONG THAO</t>
  </si>
  <si>
    <t>TRAN THI TAM</t>
  </si>
  <si>
    <t>TRAN THANH TUNG</t>
  </si>
  <si>
    <t>VU THI HONG NHUNG</t>
  </si>
  <si>
    <t>VU THI HAO</t>
  </si>
  <si>
    <t xml:space="preserve">VUONG  PHUONG LAM </t>
  </si>
  <si>
    <t>NGHIEM THI NU</t>
  </si>
  <si>
    <t>PHAM THI CUC</t>
  </si>
  <si>
    <t>HOANG THI OANH</t>
  </si>
  <si>
    <t>QUACH THI THANH TRA</t>
  </si>
  <si>
    <t>PHAM THI NGOAN</t>
  </si>
  <si>
    <t>NGUYEN THI THUY</t>
  </si>
  <si>
    <t>NGUYEN PHUONG LIEN</t>
  </si>
  <si>
    <t>TRAN  THI THU HIEN</t>
  </si>
  <si>
    <t>NGUYEN THI NGA</t>
  </si>
  <si>
    <t xml:space="preserve">NGUYEN VAN DUNG </t>
  </si>
  <si>
    <t>PHAM THI CUU</t>
  </si>
  <si>
    <t>LE THI HANH</t>
  </si>
  <si>
    <t>LE THI LOAN</t>
  </si>
  <si>
    <t>NGUYEN THI THAM</t>
  </si>
  <si>
    <t>NGUYEN HOAI THANH</t>
  </si>
  <si>
    <t>LE THI BICH HUONG</t>
  </si>
  <si>
    <t>NGUYEN THE HUE</t>
  </si>
  <si>
    <t>TRAN  THI TRANG</t>
  </si>
  <si>
    <t>NGUYEN MINH DUNG</t>
  </si>
  <si>
    <t>NGUYEN THỊ KIM ANH</t>
  </si>
  <si>
    <t>BÙI THỊ MAI THANH</t>
  </si>
  <si>
    <t>NGUYEN THI BICH NGOC</t>
  </si>
  <si>
    <t>TA QUANG NGUYEN</t>
  </si>
  <si>
    <t>NGUYEN THI HONG THAM</t>
  </si>
  <si>
    <t>TRINH THI THU HUONG</t>
  </si>
  <si>
    <t>TRAN THI BICH HIEN</t>
  </si>
  <si>
    <t>TRAN THI HUE</t>
  </si>
  <si>
    <t>NGUYEN VAN KHIEM</t>
  </si>
  <si>
    <t xml:space="preserve">HOANG VAN HUNG </t>
  </si>
  <si>
    <t>LE THI DUNG</t>
  </si>
  <si>
    <t>DAM THI TU UYEN</t>
  </si>
  <si>
    <t>LE THI MAI LAN</t>
  </si>
  <si>
    <t>NGO VAN VIET</t>
  </si>
  <si>
    <t>TRAN MAI HUONG</t>
  </si>
  <si>
    <t>NGUYEN THI THU HUONG</t>
  </si>
  <si>
    <t xml:space="preserve">NGUYEN THI MAI HUONG </t>
  </si>
  <si>
    <t>NGUYEN THI PHUONG</t>
  </si>
  <si>
    <t>NGUYEN THI THINH</t>
  </si>
  <si>
    <t>VU THI KIM THANH</t>
  </si>
  <si>
    <t>LUONG THI HONG NHUNG</t>
  </si>
  <si>
    <t>NGUYEN MINH GIANG</t>
  </si>
  <si>
    <t>CHU THI HUONG</t>
  </si>
  <si>
    <t>DUONG THI DUNG</t>
  </si>
  <si>
    <t>PHAM THI HONG THUY</t>
  </si>
  <si>
    <t>NGUYEN CONG TUAN</t>
  </si>
  <si>
    <t>LE XUAN HAI</t>
  </si>
  <si>
    <t>LE THI KIM OANH</t>
  </si>
  <si>
    <t>NGUYEN THI ANH</t>
  </si>
  <si>
    <t xml:space="preserve">VO THI THU HƯƠNG </t>
  </si>
  <si>
    <t>NGUYEN THI PHUONG ANH</t>
  </si>
  <si>
    <t>PHAN THI THU PHUONG</t>
  </si>
  <si>
    <t>NHU THI TOAN NĂNG</t>
  </si>
  <si>
    <t>NGUYEN THI QUYNH THU</t>
  </si>
  <si>
    <t>DANG THI MAI PHUONG</t>
  </si>
  <si>
    <t>0973438488</t>
  </si>
  <si>
    <t>01/12/2025</t>
  </si>
  <si>
    <t>Append1.Số CCCD</t>
  </si>
  <si>
    <t>Append1.Số Hộ chiếu</t>
  </si>
  <si>
    <t>Append1.Mã ngạch viên chức</t>
  </si>
  <si>
    <t/>
  </si>
  <si>
    <t>Column32</t>
  </si>
  <si>
    <t>HOANG THU HANG</t>
  </si>
  <si>
    <t>NGO THI HA</t>
  </si>
  <si>
    <t>DOAN PHUONG THAO</t>
  </si>
  <si>
    <t>NGUYEN THANH HA</t>
  </si>
  <si>
    <t>NGUYEN THI HANG</t>
  </si>
  <si>
    <t>NGUYEN THU HUONG</t>
  </si>
  <si>
    <t>NGUYEN VAN DUNG</t>
  </si>
  <si>
    <t>NGUYEN THI TUYET</t>
  </si>
  <si>
    <t>Ha va ten</t>
  </si>
  <si>
    <t>TRAN THI THU HANG</t>
  </si>
  <si>
    <t>NGUYEN THI KIM ANH</t>
  </si>
  <si>
    <t>NGUYEN NGOC TUAN</t>
  </si>
  <si>
    <t>TRAN THI TRANG</t>
  </si>
  <si>
    <t>BUI THI MAI THANH</t>
  </si>
  <si>
    <t>PHAM THI MAI PHUC</t>
  </si>
  <si>
    <t>NGUYEN THI HUE</t>
  </si>
  <si>
    <t>NGUYEN NGOC QUAN</t>
  </si>
  <si>
    <t>LE THI HUONG</t>
  </si>
  <si>
    <t>PHAM THI CHINH</t>
  </si>
  <si>
    <t>CHU THI THU TRANG</t>
  </si>
  <si>
    <t>DUONG THI THU PHUONG</t>
  </si>
  <si>
    <t>NGUYEN THI MINH HIEN</t>
  </si>
  <si>
    <t>NGUYEN THI HONG KIEM</t>
  </si>
  <si>
    <t>CAO THI BANG</t>
  </si>
  <si>
    <t>NGUYEN THI THU UYEN</t>
  </si>
  <si>
    <t>NGUYEN THI MAI HUONG</t>
  </si>
  <si>
    <t>PHAN THI NHAN</t>
  </si>
  <si>
    <t>NGO THI HONG GAM</t>
  </si>
  <si>
    <t>NGUYEN THANH NHAN</t>
  </si>
  <si>
    <t>HOANG VAN HUNG</t>
  </si>
  <si>
    <t>VU THI MINH THU</t>
  </si>
  <si>
    <t>NGUYEN THI MINH THAO</t>
  </si>
  <si>
    <t>NGUYEN DUC CHIEN</t>
  </si>
  <si>
    <t>NGUYEN MINH MAN</t>
  </si>
  <si>
    <t>NGUYEN THI HONG PHUC</t>
  </si>
  <si>
    <t>DO THI THANH THUY</t>
  </si>
  <si>
    <t>NGUYEN THI LE</t>
  </si>
  <si>
    <t>PHAM THI LIEN</t>
  </si>
  <si>
    <t>KHONG VIET HONG</t>
  </si>
  <si>
    <t>TRAN THI MINH TRANG</t>
  </si>
  <si>
    <t>VO THI THU HUONG</t>
  </si>
  <si>
    <t>PHAM THI LANH</t>
  </si>
  <si>
    <t>NHU THI TOAN NANG</t>
  </si>
  <si>
    <t>BUI THANH THUY</t>
  </si>
  <si>
    <t>1181004093</t>
  </si>
  <si>
    <t>Giáo viên trung học phổ thông hạng I - V.07.05.13</t>
  </si>
  <si>
    <t>DANH SÁCH THI VÀ KẾT QUẢ IELTS ĐẦU RA</t>
  </si>
  <si>
    <t>DĐơn vị đào tạo: Công ty CP Trung tâm Anh ngữ AMA Vinh</t>
  </si>
  <si>
    <t>Họ và tên đệm</t>
  </si>
  <si>
    <t>Ngày tháng năm</t>
  </si>
  <si>
    <t>Bậc dạy</t>
  </si>
  <si>
    <t>Đơn vị công tác</t>
  </si>
  <si>
    <t>Quận Huyện</t>
  </si>
  <si>
    <t>Số CCCD/Hộ chiếu</t>
  </si>
  <si>
    <t>MÃ ngạch viên chức</t>
  </si>
  <si>
    <t>Mã lớp</t>
  </si>
  <si>
    <t>GV đào tạo</t>
  </si>
  <si>
    <t xml:space="preserve">Nghe </t>
  </si>
  <si>
    <t xml:space="preserve">Nói </t>
  </si>
  <si>
    <t xml:space="preserve">Đọc </t>
  </si>
  <si>
    <t>Overall</t>
  </si>
  <si>
    <t>CC</t>
  </si>
  <si>
    <t>NXC</t>
  </si>
  <si>
    <t>STB</t>
  </si>
  <si>
    <t>CCT</t>
  </si>
  <si>
    <t>Tên</t>
  </si>
  <si>
    <t>026183003026-E032337481</t>
  </si>
  <si>
    <t>001079033488-C510532707</t>
  </si>
  <si>
    <t>014183008863-14183008863</t>
  </si>
  <si>
    <t>Thu</t>
  </si>
  <si>
    <t>Hiền</t>
  </si>
  <si>
    <t>Thảo</t>
  </si>
  <si>
    <t>Mai</t>
  </si>
  <si>
    <t>Lan</t>
  </si>
  <si>
    <t>Hùng</t>
  </si>
  <si>
    <t>Quang</t>
  </si>
  <si>
    <t>Thao</t>
  </si>
  <si>
    <t>Thanh</t>
  </si>
  <si>
    <t>Tâm</t>
  </si>
  <si>
    <t>Hồng</t>
  </si>
  <si>
    <t>Dương</t>
  </si>
  <si>
    <t>Thuỷ</t>
  </si>
  <si>
    <t>Yến</t>
  </si>
  <si>
    <t>Vân</t>
  </si>
  <si>
    <t>Hạnh</t>
  </si>
  <si>
    <t>Hằng</t>
  </si>
  <si>
    <t>Vĩnh</t>
  </si>
  <si>
    <t>Duyên</t>
  </si>
  <si>
    <t>Phương</t>
  </si>
  <si>
    <t>Lâm</t>
  </si>
  <si>
    <t>Mẫn</t>
  </si>
  <si>
    <t>Loan</t>
  </si>
  <si>
    <t>Vinh</t>
  </si>
  <si>
    <t>Hương</t>
  </si>
  <si>
    <t>Cửu</t>
  </si>
  <si>
    <t>Hà</t>
  </si>
  <si>
    <t>Nụ</t>
  </si>
  <si>
    <t>Thiêm</t>
  </si>
  <si>
    <t>Nhung</t>
  </si>
  <si>
    <t>Huệ</t>
  </si>
  <si>
    <t>Nga</t>
  </si>
  <si>
    <t>Hường</t>
  </si>
  <si>
    <t>Hà</t>
  </si>
  <si>
    <t>Bằng</t>
  </si>
  <si>
    <t>Thắm</t>
  </si>
  <si>
    <t>Dũng</t>
  </si>
  <si>
    <t>Tuyết</t>
  </si>
  <si>
    <t>Hiển</t>
  </si>
  <si>
    <t>Anh</t>
  </si>
  <si>
    <t>Dung</t>
  </si>
  <si>
    <t>Khiêm</t>
  </si>
  <si>
    <t>Hoa</t>
  </si>
  <si>
    <t>Trà</t>
  </si>
  <si>
    <t>Ngọc</t>
  </si>
  <si>
    <t>Tuân</t>
  </si>
  <si>
    <t>Uyên</t>
  </si>
  <si>
    <t>Oanh</t>
  </si>
  <si>
    <t>Nguyên</t>
  </si>
  <si>
    <t>Trang</t>
  </si>
  <si>
    <t>Phúc</t>
  </si>
  <si>
    <t>Hoà</t>
  </si>
  <si>
    <t>Tuấn</t>
  </si>
  <si>
    <t>Quân</t>
  </si>
  <si>
    <t>Việt</t>
  </si>
  <si>
    <t>Chính</t>
  </si>
  <si>
    <t>Cúc</t>
  </si>
  <si>
    <t>Hải</t>
  </si>
  <si>
    <t>Liên</t>
  </si>
  <si>
    <t>Kiểm</t>
  </si>
  <si>
    <t>Châm</t>
  </si>
  <si>
    <t>Điệp</t>
  </si>
  <si>
    <t>Nhàn</t>
  </si>
  <si>
    <t>Gấm</t>
  </si>
  <si>
    <t>Chiến</t>
  </si>
  <si>
    <t>Mẫn</t>
  </si>
  <si>
    <t>Thịnh</t>
  </si>
  <si>
    <t>Ánh</t>
  </si>
  <si>
    <t>Thủy</t>
  </si>
  <si>
    <t>Lệ</t>
  </si>
  <si>
    <t>Tùng</t>
  </si>
  <si>
    <t>Giang</t>
  </si>
  <si>
    <t>Hảo</t>
  </si>
  <si>
    <t>Lợi</t>
  </si>
  <si>
    <t>Linh</t>
  </si>
  <si>
    <t>Lành</t>
  </si>
  <si>
    <t>Năng</t>
  </si>
  <si>
    <t>CANDIDATE_NUMBER</t>
  </si>
  <si>
    <t>TEST_FORMAT</t>
  </si>
  <si>
    <t>FAMILY_NAME</t>
  </si>
  <si>
    <t>GIVEN_NAME</t>
  </si>
  <si>
    <t>NHÀ ĐÀO TẠO</t>
  </si>
  <si>
    <t>TELEPHONE</t>
  </si>
  <si>
    <t>EMAILID</t>
  </si>
  <si>
    <t>BIRTH_DATE</t>
  </si>
  <si>
    <t>GENDER</t>
  </si>
  <si>
    <t>IDENTITY</t>
  </si>
  <si>
    <t>CANDIDATE_ID</t>
  </si>
  <si>
    <t>TEST_DATE</t>
  </si>
  <si>
    <t>Band Score</t>
  </si>
  <si>
    <t>Listening</t>
  </si>
  <si>
    <t>Reading</t>
  </si>
  <si>
    <t>Writing</t>
  </si>
  <si>
    <t>Speaking</t>
  </si>
  <si>
    <t>Cefr Score</t>
  </si>
  <si>
    <t>PB</t>
  </si>
  <si>
    <t>SGD AMA</t>
  </si>
  <si>
    <t>15/11/1977</t>
  </si>
  <si>
    <t>F</t>
  </si>
  <si>
    <t>I</t>
  </si>
  <si>
    <t>29/11/2025</t>
  </si>
  <si>
    <t>Below B1</t>
  </si>
  <si>
    <t>THI MAI THANH</t>
  </si>
  <si>
    <t>buithanh26@gmail.com</t>
  </si>
  <si>
    <t>26/12/1975</t>
  </si>
  <si>
    <t>B1</t>
  </si>
  <si>
    <t>########</t>
  </si>
  <si>
    <t>B2</t>
  </si>
  <si>
    <t>20/09/1978</t>
  </si>
  <si>
    <t>22/04/1976</t>
  </si>
  <si>
    <t>Vietoanh2325@gmail.com</t>
  </si>
  <si>
    <t>23/08/1976</t>
  </si>
  <si>
    <t>VAN HUNG</t>
  </si>
  <si>
    <t>M</t>
  </si>
  <si>
    <t>16/01/1977</t>
  </si>
  <si>
    <t>21/05/1978</t>
  </si>
  <si>
    <t>19/06/1996</t>
  </si>
  <si>
    <t>28/09/1977</t>
  </si>
  <si>
    <t>15/01/1976</t>
  </si>
  <si>
    <t>28/08/1978</t>
  </si>
  <si>
    <t>25/01/1979</t>
  </si>
  <si>
    <t>AB</t>
  </si>
  <si>
    <t>21/10/1976</t>
  </si>
  <si>
    <t>THI KIM ANH</t>
  </si>
  <si>
    <t>29/04/1984</t>
  </si>
  <si>
    <t>THI MAI HUONG</t>
  </si>
  <si>
    <t>18/11/1978</t>
  </si>
  <si>
    <t>24/06/1985</t>
  </si>
  <si>
    <t>21/02/1978</t>
  </si>
  <si>
    <t>22/02/1976</t>
  </si>
  <si>
    <t>19/12/1986</t>
  </si>
  <si>
    <t>26/06/1994</t>
  </si>
  <si>
    <t>27/01/1975</t>
  </si>
  <si>
    <t>VAN DUNG</t>
  </si>
  <si>
    <t>28/11/1979</t>
  </si>
  <si>
    <t>THI TOAN NANG</t>
  </si>
  <si>
    <t>15/10/1977</t>
  </si>
  <si>
    <t>17/10/1979</t>
  </si>
  <si>
    <t>28/05/1977</t>
  </si>
  <si>
    <t>19/05/1975</t>
  </si>
  <si>
    <t>20/02/1976</t>
  </si>
  <si>
    <t>puremind315@gmail.com</t>
  </si>
  <si>
    <t>31/05/1983</t>
  </si>
  <si>
    <t>THI TRANG</t>
  </si>
  <si>
    <t>24/01/1987</t>
  </si>
  <si>
    <t>22/07/1975</t>
  </si>
  <si>
    <t>20/12/1978</t>
  </si>
  <si>
    <t>14/11/1975</t>
  </si>
  <si>
    <t>23/07/1978</t>
  </si>
  <si>
    <t>FULL_NAME</t>
  </si>
  <si>
    <t>Column19</t>
  </si>
  <si>
    <t>Column20</t>
  </si>
  <si>
    <t>Column22</t>
  </si>
  <si>
    <t>NGO THỊ HÀ</t>
  </si>
  <si>
    <t>NGHIEM THỊ NỤ</t>
  </si>
  <si>
    <t>TRÀN THỊ TAM</t>
  </si>
  <si>
    <t>NGUYEN THỊ HOÀ</t>
  </si>
  <si>
    <t>NGUYEN THỊ HONG KIEM</t>
  </si>
  <si>
    <t>VŨ THỊ MINH THU</t>
  </si>
  <si>
    <t>NGUYẼN MINH MÃN</t>
  </si>
  <si>
    <t>PHẠM THỊ HÀ</t>
  </si>
  <si>
    <t>TableScroe.Band Score</t>
  </si>
  <si>
    <t>TableScroe.Listening</t>
  </si>
  <si>
    <t>TableScroe.Reading</t>
  </si>
  <si>
    <t>TableScroe.Writing</t>
  </si>
  <si>
    <t>TableScroe.Speaking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</si>
</sst>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2">
    <font>
      <sz val="11"/>
      <color theme="1"/>
      <name val="Calibri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Times New Roman"/>
      <family val="1"/>
    </font>
    <font>
      <sz val="11"/>
      <name val="Calibri"/>
      <family val="2"/>
      <scheme val="minor"/>
    </font>
    <font>
      <b/>
      <sz val="16"/>
      <name val="Times New Roman"/>
      <family val="1"/>
    </font>
    <font>
      <b/>
      <sz val="12"/>
      <name val="Times"/>
      <charset val="134"/>
    </font>
    <font>
      <b/>
      <sz val="13"/>
      <name val="Times"/>
      <charset val="134"/>
    </font>
    <font>
      <sz val="12"/>
      <name val="Times New Roman"/>
      <family val="1"/>
    </font>
    <font>
      <b/>
      <sz val="14"/>
      <name val="Times New Roman"/>
      <family val="1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6"/>
      <name val="Calibri"/>
      <family val="2"/>
      <scheme val="minor"/>
    </font>
    <font>
      <b/>
      <sz val="16"/>
      <color rgb="FFFF0000"/>
      <name val="Times New Roman"/>
      <family val="1"/>
    </font>
    <font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434343"/>
      <name val="Arial"/>
      <family val="2"/>
    </font>
    <font>
      <sz val="13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5" fillId="0" borderId="0"/>
    <xf numFmtId="0" fontId="16" fillId="0" borderId="0"/>
  </cellStyleXfs>
  <cellXfs count="83">
    <xf numFmtId="0" fontId="0" fillId="0" borderId="0" xfId="0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164" fontId="12" fillId="2" borderId="1" xfId="1" applyNumberFormat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164" fontId="12" fillId="2" borderId="1" xfId="1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left" vertical="center"/>
    </xf>
    <xf numFmtId="0" fontId="9" fillId="3" borderId="1" xfId="0" quotePrefix="1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" fontId="9" fillId="2" borderId="4" xfId="0" applyNumberFormat="1" applyFont="1" applyFill="1" applyBorder="1" applyAlignment="1">
      <alignment horizontal="center" vertical="center" shrinkToFit="1"/>
    </xf>
    <xf numFmtId="0" fontId="9" fillId="5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9" fillId="5" borderId="4" xfId="0" applyNumberFormat="1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vertic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8" fillId="3" borderId="6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164" fontId="9" fillId="5" borderId="1" xfId="0" applyNumberFormat="1" applyFont="1" applyFill="1" applyBorder="1" applyAlignment="1">
      <alignment horizontal="left" vertical="center" wrapText="1"/>
    </xf>
    <xf numFmtId="0" fontId="12" fillId="2" borderId="7" xfId="1" applyFont="1" applyFill="1" applyBorder="1" applyAlignment="1">
      <alignment horizontal="center" vertical="center" wrapText="1"/>
    </xf>
    <xf numFmtId="0" fontId="12" fillId="4" borderId="7" xfId="1" applyFont="1" applyFill="1" applyBorder="1" applyAlignment="1">
      <alignment horizontal="center" vertical="center" wrapText="1"/>
    </xf>
    <xf numFmtId="49" fontId="18" fillId="0" borderId="0" xfId="0" applyNumberFormat="1" applyFont="1"/>
    <xf numFmtId="0" fontId="19" fillId="5" borderId="4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164" fontId="19" fillId="2" borderId="4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0" fillId="0" borderId="0" xfId="0" applyFon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/>
    <xf numFmtId="0" fontId="6" fillId="2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NumberFormat="1"/>
    <xf numFmtId="0" fontId="21" fillId="0" borderId="0" xfId="0" applyFont="1" applyAlignment="1">
      <alignment horizontal="left" vertical="center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274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numFmt numFmtId="164" formatCode="0.0"/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64" formatCode="0.0"/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numFmt numFmtId="164" formatCode="0.0"/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numFmt numFmtId="164" formatCode="0.0"/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64" formatCode="0.0"/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Câu trả lời biểu mẫu 1-style" pivot="0" count="4" xr9:uid="{00000000-0011-0000-FFFF-FFFF00000000}">
      <tableStyleElement type="wholeTable" size="0" dxfId="273"/>
      <tableStyleElement type="headerRow" dxfId="272"/>
      <tableStyleElement type="firstRowStripe" dxfId="271"/>
      <tableStyleElement type="secondRowStripe" dxfId="27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900-000000000000}" autoFormatId="16" applyNumberFormats="0" applyBorderFormats="0" applyFontFormats="0" applyPatternFormats="0" applyAlignmentFormats="0" applyWidthHeightFormats="0">
  <queryTableRefresh nextId="23">
    <queryTableFields count="21">
      <queryTableField id="1" name="TT" tableColumnId="1"/>
      <queryTableField id="2" name="Mã HV" tableColumnId="2"/>
      <queryTableField id="3" name="HỌ VÀ TÊN" tableColumnId="3"/>
      <queryTableField id="4" name="Ho va ten" tableColumnId="4"/>
      <queryTableField id="5" name="NĂM SINH" tableColumnId="5"/>
      <queryTableField id="6" name="BẬC DẠY" tableColumnId="6"/>
      <queryTableField id="7" name="ĐƠN VỊ CÔNG TÁC" tableColumnId="7"/>
      <queryTableField id="8" name="PHƯỜNG/XÃ" tableColumnId="8"/>
      <queryTableField id="9" name="Số CCCD/_x000a_Hộ chiếu" tableColumnId="9"/>
      <queryTableField id="10" name="Mã ngạch viên chức" tableColumnId="10"/>
      <queryTableField id="11" name="Điểm IELTS đầu vào" tableColumnId="11"/>
      <queryTableField id="12" name="Điểm IELTS đầu ra cần đạt " tableColumnId="12"/>
      <queryTableField id="13" name="Kết quả thi IELTS  đầu ra" tableColumnId="13"/>
      <queryTableField id="14" name="Column1" tableColumnId="14"/>
      <queryTableField id="15" name="Column2" tableColumnId="15"/>
      <queryTableField id="16" name="Column3" tableColumnId="16"/>
      <queryTableField id="17" name="Column4" tableColumnId="17"/>
      <queryTableField id="18" name="KẾT QUẢ _x000a_(Đạt/Không đạt)" tableColumnId="18"/>
      <queryTableField id="19" name="Append1.Mã ngạch viên chức" tableColumnId="19"/>
      <queryTableField id="20" name="Append1.Số CCCD" tableColumnId="20"/>
      <queryTableField id="21" name="Append1.Số Hộ chiếu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A00-000001000000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32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Append1.Mã ngạch viên chức" tableColumnId="19"/>
      <queryTableField id="20" name="Append1.Số CCCD" tableColumnId="20"/>
      <queryTableField id="21" name="Append1.Số Hộ chiếu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0000000-0016-0000-0B00-000002000000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Append1.Mã ngạch viên chức" tableColumnId="19"/>
      <queryTableField id="20" name="Append1.Số CCCD" tableColumnId="20"/>
      <queryTableField id="21" name="Append1.Số Hộ chiếu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0000000-0016-0000-0C00-000003000000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Append1.Mã ngạch viên chức" tableColumnId="19"/>
      <queryTableField id="20" name="Append1.Số CCCD" tableColumnId="20"/>
      <queryTableField id="21" name="Append1.Số Hộ chiếu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00000000-0016-0000-0D00-000004000000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Append1.Mã ngạch viên chức" tableColumnId="19"/>
      <queryTableField id="20" name="Append1.Số CCCD" tableColumnId="20"/>
      <queryTableField id="21" name="Append1.Số Hộ chiếu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0000000-0016-0000-0E00-000005000000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Append1.Mã ngạch viên chức" tableColumnId="19"/>
      <queryTableField id="20" name="Append1.Số CCCD" tableColumnId="20"/>
      <queryTableField id="21" name="Append1.Số Hộ chiếu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00000000-0016-0000-0F00-000006000000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Append1.Mã ngạch viên chức" tableColumnId="19"/>
      <queryTableField id="20" name="Append1.Số CCCD" tableColumnId="20"/>
      <queryTableField id="21" name="Append1.Số Hộ chiếu" tableColumnId="2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421FCBA6-3167-48DC-900E-1C030C78E32C}" autoFormatId="16" applyNumberFormats="0" applyBorderFormats="0" applyFontFormats="0" applyPatternFormats="0" applyAlignmentFormats="0" applyWidthHeightFormats="0">
  <queryTableRefresh nextId="15">
    <queryTableFields count="14">
      <queryTableField id="1" name="FULL_NAME" tableColumnId="15"/>
      <queryTableField id="2" name="NHÀ ĐÀO TẠO" tableColumnId="2"/>
      <queryTableField id="3" name="TELEPHONE" tableColumnId="3"/>
      <queryTableField id="4" name="EMAILID" tableColumnId="4"/>
      <queryTableField id="5" name="BIRTH_DATE" tableColumnId="5"/>
      <queryTableField id="6" name="GENDER" tableColumnId="6"/>
      <queryTableField id="7" name="IDENTITY" tableColumnId="7"/>
      <queryTableField id="8" name="CANDIDATE_ID" tableColumnId="8"/>
      <queryTableField id="9" name="TEST_DATE" tableColumnId="9"/>
      <queryTableField id="10" name="Band Score" tableColumnId="10"/>
      <queryTableField id="11" name="Listening" tableColumnId="11"/>
      <queryTableField id="12" name="Reading" tableColumnId="12"/>
      <queryTableField id="13" name="Writing" tableColumnId="13"/>
      <queryTableField id="14" name="Speaking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9F3D8166-EA8C-4B9F-9E3C-C5DE62772279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22"/>
      <queryTableField id="2" name="Column2" tableColumnId="2"/>
      <queryTableField id="3" name="Column2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C4DE68D-F12B-4EC7-B870-51430D323C10}" autoFormatId="16" applyNumberFormats="0" applyBorderFormats="0" applyFontFormats="0" applyPatternFormats="0" applyAlignmentFormats="0" applyWidthHeightFormats="0">
  <queryTableRefresh nextId="27">
    <queryTableFields count="26">
      <queryTableField id="1" name="Column1" tableColumnId="27"/>
      <queryTableField id="2" name="Column2" tableColumnId="2"/>
      <queryTableField id="3" name="Column2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TableScroe.Band Score" tableColumnId="22"/>
      <queryTableField id="23" name="TableScroe.Listening" tableColumnId="23"/>
      <queryTableField id="24" name="TableScroe.Reading" tableColumnId="24"/>
      <queryTableField id="25" name="TableScroe.Writing" tableColumnId="25"/>
      <queryTableField id="26" name="TableScroe.Speaking" tableColumnId="26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A5:R26" totalsRowShown="0" headerRowDxfId="269" dataDxfId="268">
  <autoFilter ref="A5:R26" xr:uid="{00000000-0009-0000-0100-000002000000}"/>
  <sortState xmlns:xlrd2="http://schemas.microsoft.com/office/spreadsheetml/2017/richdata2" ref="A6:R26">
    <sortCondition ref="A5:A26"/>
  </sortState>
  <tableColumns count="18">
    <tableColumn id="1" xr3:uid="{00000000-0010-0000-0000-000001000000}" name="TT" dataDxfId="267"/>
    <tableColumn id="2" xr3:uid="{00000000-0010-0000-0000-000002000000}" name="Mã HV" dataDxfId="266"/>
    <tableColumn id="3" xr3:uid="{00000000-0010-0000-0000-000003000000}" name="HỌ VÀ TÊN" dataDxfId="265"/>
    <tableColumn id="4" xr3:uid="{00000000-0010-0000-0000-000004000000}" name="Ho va ten" dataDxfId="264">
      <calculatedColumnFormula>UPPER(bo_dau_tieng_viet(C6))</calculatedColumnFormula>
    </tableColumn>
    <tableColumn id="5" xr3:uid="{00000000-0010-0000-0000-000005000000}" name="NĂM SINH" dataDxfId="263"/>
    <tableColumn id="6" xr3:uid="{00000000-0010-0000-0000-000006000000}" name="BẬC DẠY" dataDxfId="262"/>
    <tableColumn id="7" xr3:uid="{00000000-0010-0000-0000-000007000000}" name="ĐƠN VỊ CÔNG TÁC" dataDxfId="261"/>
    <tableColumn id="8" xr3:uid="{00000000-0010-0000-0000-000008000000}" name="PHƯỜNG/XÃ" dataDxfId="260"/>
    <tableColumn id="9" xr3:uid="{00000000-0010-0000-0000-000009000000}" name="Số CCCD/_x000a_Hộ chiếu" dataDxfId="259"/>
    <tableColumn id="10" xr3:uid="{00000000-0010-0000-0000-00000A000000}" name="Mã ngạch viên chức" dataDxfId="258" dataCellStyle="Normal 2"/>
    <tableColumn id="11" xr3:uid="{00000000-0010-0000-0000-00000B000000}" name="Điểm IELTS đầu vào" dataDxfId="257"/>
    <tableColumn id="12" xr3:uid="{00000000-0010-0000-0000-00000C000000}" name="Điểm IELTS đầu ra cần đạt " dataDxfId="256" dataCellStyle="Normal 2"/>
    <tableColumn id="13" xr3:uid="{00000000-0010-0000-0000-00000D000000}" name="Kết quả thi IELTS  đầu ra" dataDxfId="255"/>
    <tableColumn id="14" xr3:uid="{00000000-0010-0000-0000-00000E000000}" name="Column1" dataDxfId="254"/>
    <tableColumn id="15" xr3:uid="{00000000-0010-0000-0000-00000F000000}" name="Column2" dataDxfId="253"/>
    <tableColumn id="16" xr3:uid="{00000000-0010-0000-0000-000010000000}" name="Column3" dataDxfId="252"/>
    <tableColumn id="17" xr3:uid="{00000000-0010-0000-0000-000011000000}" name="Column4" dataDxfId="251"/>
    <tableColumn id="18" xr3:uid="{00000000-0010-0000-0000-000012000000}" name="KẾT QUẢ _x000a_(Đạt/Không đạt)" dataDxfId="25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1000000}" name="Table25" displayName="Table25" ref="A7:R27" totalsRowShown="0" headerRowDxfId="249" dataDxfId="248" tableBorderDxfId="247">
  <autoFilter ref="A7:R27" xr:uid="{00000000-0009-0000-0100-000019000000}"/>
  <tableColumns count="18">
    <tableColumn id="1" xr3:uid="{00000000-0010-0000-0100-000001000000}" name="Column1" dataDxfId="246"/>
    <tableColumn id="2" xr3:uid="{00000000-0010-0000-0100-000002000000}" name="Column2" dataDxfId="245"/>
    <tableColumn id="3" xr3:uid="{00000000-0010-0000-0100-000003000000}" name="Column3" dataDxfId="244"/>
    <tableColumn id="20" xr3:uid="{00000000-0010-0000-0100-000014000000}" name="Column32" dataDxfId="243"/>
    <tableColumn id="4" xr3:uid="{00000000-0010-0000-0100-000004000000}" name="Column4" dataDxfId="242"/>
    <tableColumn id="5" xr3:uid="{00000000-0010-0000-0100-000005000000}" name="Column5" dataDxfId="241"/>
    <tableColumn id="6" xr3:uid="{00000000-0010-0000-0100-000006000000}" name="Column6" dataDxfId="240"/>
    <tableColumn id="7" xr3:uid="{00000000-0010-0000-0100-000007000000}" name="Column7" dataDxfId="239"/>
    <tableColumn id="8" xr3:uid="{00000000-0010-0000-0100-000008000000}" name="Column8" dataDxfId="238">
      <calculatedColumnFormula>IF(ISBLANK(Merge19!T2), IF(ISBLANK(Merge19!U2), "", Merge19!U2),Merge19!T2&amp; IF(ISBLANK(Merge19!U2), "", "-"&amp;Merge19!U2))</calculatedColumnFormula>
    </tableColumn>
    <tableColumn id="9" xr3:uid="{00000000-0010-0000-0100-000009000000}" name="Column9" dataDxfId="237" dataCellStyle="Normal 2">
      <calculatedColumnFormula>IF(ISBLANK(Merge19!S2),"",Merge19!S2)</calculatedColumnFormula>
    </tableColumn>
    <tableColumn id="10" xr3:uid="{00000000-0010-0000-0100-00000A000000}" name="Column10" dataDxfId="236"/>
    <tableColumn id="11" xr3:uid="{00000000-0010-0000-0100-00000B000000}" name="Column11" dataDxfId="235" dataCellStyle="Normal 2"/>
    <tableColumn id="12" xr3:uid="{00000000-0010-0000-0100-00000C000000}" name="Column12" dataDxfId="234"/>
    <tableColumn id="13" xr3:uid="{00000000-0010-0000-0100-00000D000000}" name="Column13" dataDxfId="233"/>
    <tableColumn id="14" xr3:uid="{00000000-0010-0000-0100-00000E000000}" name="Column14" dataDxfId="232"/>
    <tableColumn id="15" xr3:uid="{00000000-0010-0000-0100-00000F000000}" name="Column15" dataDxfId="231"/>
    <tableColumn id="16" xr3:uid="{00000000-0010-0000-0100-000010000000}" name="Column16" dataDxfId="230"/>
    <tableColumn id="17" xr3:uid="{00000000-0010-0000-0100-000011000000}" name="Column17" dataDxfId="2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2000000}" name="Table28" displayName="Table28" ref="A7:R27" totalsRowShown="0" headerRowDxfId="228" dataDxfId="227" tableBorderDxfId="226">
  <autoFilter ref="A7:R27" xr:uid="{00000000-0009-0000-0100-00001C000000}"/>
  <tableColumns count="18">
    <tableColumn id="1" xr3:uid="{00000000-0010-0000-0200-000001000000}" name="Column1" dataDxfId="225"/>
    <tableColumn id="2" xr3:uid="{00000000-0010-0000-0200-000002000000}" name="Column2" dataDxfId="224"/>
    <tableColumn id="3" xr3:uid="{00000000-0010-0000-0200-000003000000}" name="Column3" dataDxfId="223"/>
    <tableColumn id="4" xr3:uid="{00000000-0010-0000-0200-000004000000}" name="Column4" dataDxfId="222"/>
    <tableColumn id="5" xr3:uid="{00000000-0010-0000-0200-000005000000}" name="Column5" dataDxfId="221"/>
    <tableColumn id="6" xr3:uid="{00000000-0010-0000-0200-000006000000}" name="Column6" dataDxfId="220"/>
    <tableColumn id="7" xr3:uid="{00000000-0010-0000-0200-000007000000}" name="Column7" dataDxfId="219"/>
    <tableColumn id="8" xr3:uid="{00000000-0010-0000-0200-000008000000}" name="Column8" dataDxfId="218"/>
    <tableColumn id="9" xr3:uid="{00000000-0010-0000-0200-000009000000}" name="Column9" dataDxfId="217">
      <calculatedColumnFormula>IF(ISBLANK(Merge20!T2), IF(ISBLANK(Merge20!U2), "", Merge20!U2),Merge20!T2&amp; IF(ISBLANK(Merge20!U2), "", "-"&amp;Merge20!U2))</calculatedColumnFormula>
    </tableColumn>
    <tableColumn id="10" xr3:uid="{00000000-0010-0000-0200-00000A000000}" name="Column10" dataDxfId="216" dataCellStyle="Normal 2">
      <calculatedColumnFormula>IF(ISBLANK(Merge20!S2),"",Merge20!S2)</calculatedColumnFormula>
    </tableColumn>
    <tableColumn id="11" xr3:uid="{00000000-0010-0000-0200-00000B000000}" name="Column11" dataDxfId="215"/>
    <tableColumn id="12" xr3:uid="{00000000-0010-0000-0200-00000C000000}" name="Column12" dataDxfId="214" dataCellStyle="Normal 2"/>
    <tableColumn id="13" xr3:uid="{00000000-0010-0000-0200-00000D000000}" name="Column13" dataDxfId="213"/>
    <tableColumn id="14" xr3:uid="{00000000-0010-0000-0200-00000E000000}" name="Column14" dataDxfId="212"/>
    <tableColumn id="15" xr3:uid="{00000000-0010-0000-0200-00000F000000}" name="Column15" dataDxfId="211"/>
    <tableColumn id="16" xr3:uid="{00000000-0010-0000-0200-000010000000}" name="Column16" dataDxfId="210"/>
    <tableColumn id="17" xr3:uid="{00000000-0010-0000-0200-000011000000}" name="Column17" dataDxfId="209"/>
    <tableColumn id="18" xr3:uid="{00000000-0010-0000-0200-000012000000}" name="Column18" dataDxfId="20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3000000}" name="Table30" displayName="Table30" ref="A7:R27" totalsRowShown="0" headerRowDxfId="207" dataDxfId="206" tableBorderDxfId="205">
  <autoFilter ref="A7:R27" xr:uid="{00000000-0009-0000-0100-00001E000000}"/>
  <tableColumns count="18">
    <tableColumn id="1" xr3:uid="{00000000-0010-0000-0300-000001000000}" name="Column1" dataDxfId="204"/>
    <tableColumn id="2" xr3:uid="{00000000-0010-0000-0300-000002000000}" name="Column2" dataDxfId="203"/>
    <tableColumn id="3" xr3:uid="{00000000-0010-0000-0300-000003000000}" name="Column3" dataDxfId="202"/>
    <tableColumn id="4" xr3:uid="{00000000-0010-0000-0300-000004000000}" name="Column4" dataDxfId="201"/>
    <tableColumn id="5" xr3:uid="{00000000-0010-0000-0300-000005000000}" name="Column5" dataDxfId="200"/>
    <tableColumn id="6" xr3:uid="{00000000-0010-0000-0300-000006000000}" name="Column6" dataDxfId="199"/>
    <tableColumn id="7" xr3:uid="{00000000-0010-0000-0300-000007000000}" name="Column7" dataDxfId="198"/>
    <tableColumn id="8" xr3:uid="{00000000-0010-0000-0300-000008000000}" name="Column8" dataDxfId="197"/>
    <tableColumn id="9" xr3:uid="{00000000-0010-0000-0300-000009000000}" name="Column9" dataDxfId="196">
      <calculatedColumnFormula>IF(ISBLANK(Merge21!T2), IF(ISBLANK(Merge21!U2), "", Merge21!U2),Merge21!T2&amp; IF(ISBLANK(Merge21!U2), "", "-"&amp;Merge21!U2))</calculatedColumnFormula>
    </tableColumn>
    <tableColumn id="10" xr3:uid="{00000000-0010-0000-0300-00000A000000}" name="Column10" dataDxfId="195" dataCellStyle="Normal 2">
      <calculatedColumnFormula>IF(ISBLANK(Merge21!S2),"",Merge21!S2)</calculatedColumnFormula>
    </tableColumn>
    <tableColumn id="11" xr3:uid="{00000000-0010-0000-0300-00000B000000}" name="Column11" dataDxfId="194"/>
    <tableColumn id="12" xr3:uid="{00000000-0010-0000-0300-00000C000000}" name="Column12" dataDxfId="193" dataCellStyle="Normal 2"/>
    <tableColumn id="13" xr3:uid="{00000000-0010-0000-0300-00000D000000}" name="Column13" dataDxfId="192"/>
    <tableColumn id="14" xr3:uid="{00000000-0010-0000-0300-00000E000000}" name="Column14" dataDxfId="191"/>
    <tableColumn id="15" xr3:uid="{00000000-0010-0000-0300-00000F000000}" name="Column15" dataDxfId="190"/>
    <tableColumn id="16" xr3:uid="{00000000-0010-0000-0300-000010000000}" name="Column16" dataDxfId="189"/>
    <tableColumn id="17" xr3:uid="{00000000-0010-0000-0300-000011000000}" name="Column17" dataDxfId="188"/>
    <tableColumn id="18" xr3:uid="{00000000-0010-0000-0300-000012000000}" name="Column18" dataDxfId="187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4000000}" name="Table32" displayName="Table32" ref="A7:R27" totalsRowShown="0" headerRowDxfId="186" dataDxfId="185" tableBorderDxfId="184">
  <autoFilter ref="A7:R27" xr:uid="{00000000-0009-0000-0100-000020000000}"/>
  <tableColumns count="18">
    <tableColumn id="1" xr3:uid="{00000000-0010-0000-0400-000001000000}" name="Column1" dataDxfId="183"/>
    <tableColumn id="2" xr3:uid="{00000000-0010-0000-0400-000002000000}" name="Column2" dataDxfId="182"/>
    <tableColumn id="3" xr3:uid="{00000000-0010-0000-0400-000003000000}" name="Column3" dataDxfId="181"/>
    <tableColumn id="4" xr3:uid="{00000000-0010-0000-0400-000004000000}" name="Column4" dataDxfId="180"/>
    <tableColumn id="5" xr3:uid="{00000000-0010-0000-0400-000005000000}" name="Column5" dataDxfId="179"/>
    <tableColumn id="6" xr3:uid="{00000000-0010-0000-0400-000006000000}" name="Column6" dataDxfId="178"/>
    <tableColumn id="7" xr3:uid="{00000000-0010-0000-0400-000007000000}" name="Column7" dataDxfId="177"/>
    <tableColumn id="8" xr3:uid="{00000000-0010-0000-0400-000008000000}" name="Column8" dataDxfId="176"/>
    <tableColumn id="9" xr3:uid="{00000000-0010-0000-0400-000009000000}" name="Column9" dataDxfId="175">
      <calculatedColumnFormula>IF(ISBLANK(Merge22!T2), IF(ISBLANK(Merge22!U2), "", Merge22!U2),Merge22!T2&amp; IF(ISBLANK(Merge22!U2), "", "-"&amp;Merge22!U2))</calculatedColumnFormula>
    </tableColumn>
    <tableColumn id="10" xr3:uid="{00000000-0010-0000-0400-00000A000000}" name="Column10" dataDxfId="174" dataCellStyle="Normal 2">
      <calculatedColumnFormula>IF(ISBLANK(Merge22!S2),"",Merge22!S2)</calculatedColumnFormula>
    </tableColumn>
    <tableColumn id="11" xr3:uid="{00000000-0010-0000-0400-00000B000000}" name="Column11" dataDxfId="173"/>
    <tableColumn id="12" xr3:uid="{00000000-0010-0000-0400-00000C000000}" name="Column12" dataDxfId="172" dataCellStyle="Normal 2"/>
    <tableColumn id="13" xr3:uid="{00000000-0010-0000-0400-00000D000000}" name="Column13" dataDxfId="171"/>
    <tableColumn id="14" xr3:uid="{00000000-0010-0000-0400-00000E000000}" name="Column14" dataDxfId="170"/>
    <tableColumn id="15" xr3:uid="{00000000-0010-0000-0400-00000F000000}" name="Column15" dataDxfId="169"/>
    <tableColumn id="16" xr3:uid="{00000000-0010-0000-0400-000010000000}" name="Column16" dataDxfId="168"/>
    <tableColumn id="17" xr3:uid="{00000000-0010-0000-0400-000011000000}" name="Column17" dataDxfId="167"/>
    <tableColumn id="18" xr3:uid="{00000000-0010-0000-0400-000012000000}" name="Column18" dataDxfId="16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5000000}" name="Table34" displayName="Table34" ref="A7:R27" totalsRowShown="0" headerRowDxfId="165" dataDxfId="164" tableBorderDxfId="163">
  <autoFilter ref="A7:R27" xr:uid="{00000000-0009-0000-0100-000022000000}"/>
  <tableColumns count="18">
    <tableColumn id="1" xr3:uid="{00000000-0010-0000-0500-000001000000}" name="Column1" dataDxfId="162"/>
    <tableColumn id="2" xr3:uid="{00000000-0010-0000-0500-000002000000}" name="Column2" dataDxfId="161"/>
    <tableColumn id="3" xr3:uid="{00000000-0010-0000-0500-000003000000}" name="Column3" dataDxfId="160"/>
    <tableColumn id="4" xr3:uid="{00000000-0010-0000-0500-000004000000}" name="Column4" dataDxfId="159"/>
    <tableColumn id="5" xr3:uid="{00000000-0010-0000-0500-000005000000}" name="Column5" dataDxfId="158"/>
    <tableColumn id="6" xr3:uid="{00000000-0010-0000-0500-000006000000}" name="Column6" dataDxfId="157"/>
    <tableColumn id="7" xr3:uid="{00000000-0010-0000-0500-000007000000}" name="Column7" dataDxfId="156"/>
    <tableColumn id="8" xr3:uid="{00000000-0010-0000-0500-000008000000}" name="Column8" dataDxfId="155"/>
    <tableColumn id="9" xr3:uid="{00000000-0010-0000-0500-000009000000}" name="Column9" dataDxfId="154">
      <calculatedColumnFormula>IF(ISBLANK(Merge23!T2), IF(ISBLANK(Merge23!U2), "", Merge23!U2),Merge23!T2&amp; IF(ISBLANK(Merge23!U2), "", "-"&amp;Merge23!U2))</calculatedColumnFormula>
    </tableColumn>
    <tableColumn id="10" xr3:uid="{00000000-0010-0000-0500-00000A000000}" name="Column10" dataDxfId="153" dataCellStyle="Normal 2">
      <calculatedColumnFormula>IF(ISBLANK(Merge23!S2),"",Merge23!S2)</calculatedColumnFormula>
    </tableColumn>
    <tableColumn id="11" xr3:uid="{00000000-0010-0000-0500-00000B000000}" name="Column11" dataDxfId="152"/>
    <tableColumn id="12" xr3:uid="{00000000-0010-0000-0500-00000C000000}" name="Column12" dataDxfId="151" dataCellStyle="Normal 2"/>
    <tableColumn id="13" xr3:uid="{00000000-0010-0000-0500-00000D000000}" name="Column13" dataDxfId="150"/>
    <tableColumn id="14" xr3:uid="{00000000-0010-0000-0500-00000E000000}" name="Column14" dataDxfId="149"/>
    <tableColumn id="15" xr3:uid="{00000000-0010-0000-0500-00000F000000}" name="Column15" dataDxfId="148"/>
    <tableColumn id="16" xr3:uid="{00000000-0010-0000-0500-000010000000}" name="Column16" dataDxfId="147"/>
    <tableColumn id="17" xr3:uid="{00000000-0010-0000-0500-000011000000}" name="Column17" dataDxfId="146"/>
    <tableColumn id="18" xr3:uid="{00000000-0010-0000-0500-000012000000}" name="Column18" dataDxfId="1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6000000}" name="Table36" displayName="Table36" ref="A7:R27" totalsRowShown="0" headerRowDxfId="144" dataDxfId="143" tableBorderDxfId="142">
  <autoFilter ref="A7:R27" xr:uid="{00000000-0009-0000-0100-000024000000}"/>
  <tableColumns count="18">
    <tableColumn id="1" xr3:uid="{00000000-0010-0000-0600-000001000000}" name="Column1" dataDxfId="141"/>
    <tableColumn id="2" xr3:uid="{00000000-0010-0000-0600-000002000000}" name="Column2" dataDxfId="140"/>
    <tableColumn id="3" xr3:uid="{00000000-0010-0000-0600-000003000000}" name="Column3" dataDxfId="139"/>
    <tableColumn id="4" xr3:uid="{00000000-0010-0000-0600-000004000000}" name="Column4" dataDxfId="138"/>
    <tableColumn id="5" xr3:uid="{00000000-0010-0000-0600-000005000000}" name="Column5" dataDxfId="137"/>
    <tableColumn id="6" xr3:uid="{00000000-0010-0000-0600-000006000000}" name="Column6" dataDxfId="136"/>
    <tableColumn id="7" xr3:uid="{00000000-0010-0000-0600-000007000000}" name="Column7" dataDxfId="135"/>
    <tableColumn id="8" xr3:uid="{00000000-0010-0000-0600-000008000000}" name="Column8" dataDxfId="134"/>
    <tableColumn id="9" xr3:uid="{00000000-0010-0000-0600-000009000000}" name="Column9" dataDxfId="133">
      <calculatedColumnFormula>IF(ISBLANK(Merge24!T2), IF(ISBLANK(Merge24!U2), "", Merge24!U2),Merge24!T2&amp; IF(ISBLANK(Merge24!U2), "", "-"&amp;Merge24!U2))</calculatedColumnFormula>
    </tableColumn>
    <tableColumn id="10" xr3:uid="{00000000-0010-0000-0600-00000A000000}" name="Column10" dataDxfId="132" dataCellStyle="Normal 2">
      <calculatedColumnFormula>IF(ISBLANK(Merge24!S2),"",Merge24!S2)</calculatedColumnFormula>
    </tableColumn>
    <tableColumn id="11" xr3:uid="{00000000-0010-0000-0600-00000B000000}" name="Column11" dataDxfId="131"/>
    <tableColumn id="12" xr3:uid="{00000000-0010-0000-0600-00000C000000}" name="Column12" dataDxfId="130" dataCellStyle="Normal 2"/>
    <tableColumn id="13" xr3:uid="{00000000-0010-0000-0600-00000D000000}" name="Column13" dataDxfId="129"/>
    <tableColumn id="14" xr3:uid="{00000000-0010-0000-0600-00000E000000}" name="Column14" dataDxfId="128"/>
    <tableColumn id="15" xr3:uid="{00000000-0010-0000-0600-00000F000000}" name="Column15" dataDxfId="127"/>
    <tableColumn id="16" xr3:uid="{00000000-0010-0000-0600-000010000000}" name="Column16" dataDxfId="126"/>
    <tableColumn id="17" xr3:uid="{00000000-0010-0000-0600-000011000000}" name="Column17" dataDxfId="125"/>
    <tableColumn id="18" xr3:uid="{00000000-0010-0000-0600-000012000000}" name="Column18" dataDxfId="1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08645A-7DF0-4469-9EAD-1A2B50E6386C}" name="Table5" displayName="Table5" ref="B6:V146" totalsRowShown="0" headerRowDxfId="47" dataDxfId="48">
  <autoFilter ref="B6:V146" xr:uid="{EB08645A-7DF0-4469-9EAD-1A2B50E6386C}"/>
  <tableColumns count="21">
    <tableColumn id="1" xr3:uid="{AEF868DC-CC2F-4770-8139-01096A361B22}" name="Column1" dataDxfId="63"/>
    <tableColumn id="2" xr3:uid="{D6599DF6-D468-4223-B21A-96E56B702C9F}" name="Column2" dataDxfId="62"/>
    <tableColumn id="21" xr3:uid="{4E67BD7D-9BE8-422E-8C3B-6093A4AACE02}" name="Column22" dataDxfId="46"/>
    <tableColumn id="3" xr3:uid="{B0E85162-2D4A-43DF-9500-E2EDC3C728DB}" name="Column3" dataDxfId="61"/>
    <tableColumn id="4" xr3:uid="{2C6B6700-651E-41E0-8CAD-25D98C641D16}" name="Column4" dataDxfId="60"/>
    <tableColumn id="5" xr3:uid="{6B66916D-5EFC-4E94-9371-F3FEA964604B}" name="Column5" dataDxfId="59"/>
    <tableColumn id="6" xr3:uid="{E67B95F4-BE39-402D-B287-7DED07EF175A}" name="Column6" dataDxfId="58"/>
    <tableColumn id="7" xr3:uid="{AB1D8438-CA0D-4A9D-B74D-86EB61FA0D02}" name="Column7" dataDxfId="57"/>
    <tableColumn id="8" xr3:uid="{34F457CA-2917-44B8-969D-4B2239E7F284}" name="Column8" dataDxfId="56"/>
    <tableColumn id="9" xr3:uid="{DA87D2C4-FB93-4320-866F-AA411A50E5B1}" name="Column9" dataDxfId="55"/>
    <tableColumn id="10" xr3:uid="{464995EF-6AC0-49A2-8E9A-D36D3046A2EC}" name="Column10" dataDxfId="54">
      <calculatedColumnFormula>ROUNDUP(IF(A6&lt;=20, 18,IF(A6&lt;=40, 19,MIN(24, 19 + (A6-40)/20))),0)</calculatedColumnFormula>
    </tableColumn>
    <tableColumn id="11" xr3:uid="{B6C29062-EBD8-47EA-9272-7AB3A1D975EE}" name="Column11" dataDxfId="53"/>
    <tableColumn id="12" xr3:uid="{BBDC2C9D-DDE3-4290-A6FC-588024153949}" name="Column12" dataDxfId="4">
      <calculatedColumnFormula>Result!W2</calculatedColumnFormula>
    </tableColumn>
    <tableColumn id="13" xr3:uid="{AC0E117C-2AE0-41AF-90C7-892CABD6F0A1}" name="Column13" dataDxfId="0">
      <calculatedColumnFormula>Result!Z2</calculatedColumnFormula>
    </tableColumn>
    <tableColumn id="14" xr3:uid="{B4806DD7-8E57-48CE-98D1-049B70DF8897}" name="Column14" dataDxfId="3">
      <calculatedColumnFormula>Result!X2</calculatedColumnFormula>
    </tableColumn>
    <tableColumn id="15" xr3:uid="{AD5A0802-06F3-4D89-8372-F0DD8154463F}" name="Column15" dataDxfId="2">
      <calculatedColumnFormula>Result!Y2</calculatedColumnFormula>
    </tableColumn>
    <tableColumn id="16" xr3:uid="{078E7A3D-17E8-4F46-B715-D05653A131C9}" name="Column16" dataDxfId="1">
      <calculatedColumnFormula>Result!V2</calculatedColumnFormula>
    </tableColumn>
    <tableColumn id="17" xr3:uid="{BF5AD1F4-2260-487E-AE36-0CBF043D4E7B}" name="Column17" dataDxfId="52"/>
    <tableColumn id="18" xr3:uid="{284B0F97-5484-4545-8F3B-719BE93E60DA}" name="Column18" dataDxfId="51"/>
    <tableColumn id="19" xr3:uid="{CEB0BF1C-80DC-4D16-8801-54AF8314AFE7}" name="Column19" dataDxfId="50"/>
    <tableColumn id="20" xr3:uid="{EE963C40-A84D-4194-AE27-ECDBC39C5E80}" name="Column20" dataDxfId="4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68E06-DA33-4829-97CF-7EF66119F8A9}" name="Table2" displayName="Table2" ref="E1:R59" totalsRowShown="0">
  <autoFilter ref="E1:R59" xr:uid="{E1368E06-DA33-4829-97CF-7EF66119F8A9}"/>
  <tableColumns count="14">
    <tableColumn id="1" xr3:uid="{B3882340-E582-4ED2-BA88-D5D96AC012DA}" name="FULL_NAME"/>
    <tableColumn id="2" xr3:uid="{83EC7AA3-5422-4DAE-82C3-ED1E9D7E6828}" name="NHÀ ĐÀO TẠO"/>
    <tableColumn id="3" xr3:uid="{6B3C733C-1DD8-4E1A-B610-00D00E9EF872}" name="TELEPHONE"/>
    <tableColumn id="4" xr3:uid="{A345BE42-0D04-4C82-80ED-6C7304E3389B}" name="EMAILID"/>
    <tableColumn id="5" xr3:uid="{56A39895-A424-4AFF-A96A-4D28D49392AB}" name="BIRTH_DATE"/>
    <tableColumn id="6" xr3:uid="{0048C8F8-22F0-44D2-A66C-24AAC7CDC0E0}" name="GENDER"/>
    <tableColumn id="7" xr3:uid="{5218A1CB-EBD0-4785-8E7A-FC5914B2F1F3}" name="IDENTITY"/>
    <tableColumn id="8" xr3:uid="{ECB6A9DF-364B-456C-BAB2-6BD81221CED8}" name="CANDIDATE_ID"/>
    <tableColumn id="9" xr3:uid="{EBBC0F52-872C-4A5E-9A2E-2892999BFC7E}" name="TEST_DATE"/>
    <tableColumn id="10" xr3:uid="{9BD2FB94-1EE4-4565-9DF0-F9B19F24208D}" name="Band Score"/>
    <tableColumn id="11" xr3:uid="{F7570099-AD88-435C-A656-4685A8A93C8D}" name="Listening"/>
    <tableColumn id="12" xr3:uid="{F501186E-C2EE-48BA-8987-D0785313AAFD}" name="Reading"/>
    <tableColumn id="13" xr3:uid="{205FA749-FCA3-40F6-AC69-7057EFE06DD6}" name="Writing"/>
    <tableColumn id="14" xr3:uid="{E076080C-4E9A-4747-9C70-702D730776FC}" name="Speak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7000000}" name="Table14" displayName="Table14" ref="A1:Y62" totalsRowShown="0">
  <autoFilter ref="A1:Y62" xr:uid="{00000000-0009-0000-0100-00000E000000}"/>
  <tableColumns count="25">
    <tableColumn id="1" xr3:uid="{00000000-0010-0000-0700-000001000000}" name="STT"/>
    <tableColumn id="2" xr3:uid="{00000000-0010-0000-0700-000002000000}" name="Dấu thời gian"/>
    <tableColumn id="3" xr3:uid="{00000000-0010-0000-0700-000003000000}" name="Đơn vị giảng dạy "/>
    <tableColumn id="4" xr3:uid="{00000000-0010-0000-0700-000004000000}" name="Trường học nơi thầy/cô đang công tác (ví dụ TH/THCS/ THPT Đoàn Kết)"/>
    <tableColumn id="5" xr3:uid="{00000000-0010-0000-0700-000005000000}" name="Mã ngạch viên chức"/>
    <tableColumn id="6" xr3:uid="{00000000-0010-0000-0700-000006000000}" name="Lớp theo danh sách của Sở"/>
    <tableColumn id="7" xr3:uid="{00000000-0010-0000-0700-000007000000}" name="Title (Ông - Mr/Bà - Miss)"/>
    <tableColumn id="8" xr3:uid="{00000000-0010-0000-0700-000008000000}" name="HỌ (VIẾT HOA KHÔNG DẤU)"/>
    <tableColumn id="9" xr3:uid="{00000000-0010-0000-0700-000009000000}" name="TÊN ĐỆM VÀ TÊN (VIẾT HOA KHÔNG DẤU)"/>
    <tableColumn id="10" xr3:uid="{00000000-0010-0000-0700-00000A000000}" name="NAME"/>
    <tableColumn id="11" xr3:uid="{00000000-0010-0000-0700-00000B000000}" name="Giới tính: (Nam - Male/Nữ - Female)"/>
    <tableColumn id="12" xr3:uid="{00000000-0010-0000-0700-00000C000000}" name="Ngày sinh (Tháng/ngày/năm)"/>
    <tableColumn id="13" xr3:uid="{00000000-0010-0000-0700-00000D000000}" name="Số điện thoại di động"/>
    <tableColumn id="14" xr3:uid="{00000000-0010-0000-0700-00000E000000}" name="Email đăng ký dự thi"/>
    <tableColumn id="15" xr3:uid="{00000000-0010-0000-0700-00000F000000}" name="Chọn giấy tờ tùy thân: CCCD "/>
    <tableColumn id="16" xr3:uid="{00000000-0010-0000-0700-000010000000}" name="Số CCCD"/>
    <tableColumn id="17" xr3:uid="{00000000-0010-0000-0700-000011000000}" name="Ngày hết hạn CCCD"/>
    <tableColumn id="18" xr3:uid="{00000000-0010-0000-0700-000012000000}" name="File ảnh CCCD mặt trước"/>
    <tableColumn id="19" xr3:uid="{00000000-0010-0000-0700-000013000000}" name="File ảnh CCCD mặt sau"/>
    <tableColumn id="20" xr3:uid="{00000000-0010-0000-0700-000014000000}" name="Số Hộ chiếu"/>
    <tableColumn id="21" xr3:uid="{00000000-0010-0000-0700-000015000000}" name="Ngày hết hạn hộ chiếu"/>
    <tableColumn id="22" xr3:uid="{00000000-0010-0000-0700-000016000000}" name="File ảnh Hộ chiếu"/>
    <tableColumn id="23" xr3:uid="{00000000-0010-0000-0700-000017000000}" name="Ngày thi nói"/>
    <tableColumn id="24" xr3:uid="{00000000-0010-0000-0700-000018000000}" name="Địa chỉ email"/>
    <tableColumn id="25" xr3:uid="{00000000-0010-0000-0700-000019000000}" name="Địa chỉ: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e16" displayName="Table16" ref="A1:Y49" totalsRowShown="0">
  <autoFilter ref="A1:Y49" xr:uid="{00000000-0009-0000-0100-000010000000}"/>
  <tableColumns count="25">
    <tableColumn id="1" xr3:uid="{00000000-0010-0000-0800-000001000000}" name="STT"/>
    <tableColumn id="2" xr3:uid="{00000000-0010-0000-0800-000002000000}" name="Dấu thời gian"/>
    <tableColumn id="3" xr3:uid="{00000000-0010-0000-0800-000003000000}" name="Đơn vị giảng dạy "/>
    <tableColumn id="4" xr3:uid="{00000000-0010-0000-0800-000004000000}" name="TTTrường học nơi thầy/cô đang công tác"/>
    <tableColumn id="5" xr3:uid="{00000000-0010-0000-0800-000005000000}" name="Mã ngạch viên chức"/>
    <tableColumn id="6" xr3:uid="{00000000-0010-0000-0800-000006000000}" name="Lớp theo danh sách của Sở"/>
    <tableColumn id="7" xr3:uid="{00000000-0010-0000-0800-000007000000}" name="Email đăng ký dự thi"/>
    <tableColumn id="8" xr3:uid="{00000000-0010-0000-0800-000008000000}" name="Title (Ông - Mr/Bà - Miss)"/>
    <tableColumn id="9" xr3:uid="{00000000-0010-0000-0800-000009000000}" name="HỌ (VIẾT HOA KHÔNG DẤU)"/>
    <tableColumn id="10" xr3:uid="{00000000-0010-0000-0800-00000A000000}" name="TÊN ĐỆM VÀ TÊN (VIẾT HOA KHÔNG DẤU)"/>
    <tableColumn id="11" xr3:uid="{00000000-0010-0000-0800-00000B000000}" name="NAME"/>
    <tableColumn id="12" xr3:uid="{00000000-0010-0000-0800-00000C000000}" name="Giới tính: (Nam - Male/Nữ - Female)"/>
    <tableColumn id="13" xr3:uid="{00000000-0010-0000-0800-00000D000000}" name="Ngày sinh (Tháng/ngày/năm)"/>
    <tableColumn id="14" xr3:uid="{00000000-0010-0000-0800-00000E000000}" name="Số điện thoại di động"/>
    <tableColumn id="15" xr3:uid="{00000000-0010-0000-0800-00000F000000}" name="Chọn giấy tờ tùy thân: CCCD (National identity) hoặc hộ chiếu (passport)"/>
    <tableColumn id="16" xr3:uid="{00000000-0010-0000-0800-000010000000}" name="Số CCCD"/>
    <tableColumn id="17" xr3:uid="{00000000-0010-0000-0800-000011000000}" name="Ngày hết hạn CCCD"/>
    <tableColumn id="18" xr3:uid="{00000000-0010-0000-0800-000012000000}" name="File ảnh CCCD mặt trước"/>
    <tableColumn id="19" xr3:uid="{00000000-0010-0000-0800-000013000000}" name="File ảnh CCCD mặt sau"/>
    <tableColumn id="20" xr3:uid="{00000000-0010-0000-0800-000014000000}" name="Số Hộ chiếu"/>
    <tableColumn id="21" xr3:uid="{00000000-0010-0000-0800-000015000000}" name="Ngày hết hạn hộ chiếu"/>
    <tableColumn id="22" xr3:uid="{00000000-0010-0000-0800-000016000000}" name="Ảnh Hộ chiếu"/>
    <tableColumn id="23" xr3:uid="{00000000-0010-0000-0800-000017000000}" name="Chọn ngày thi"/>
    <tableColumn id="24" xr3:uid="{00000000-0010-0000-0800-000018000000}" name="Địa chỉ email"/>
    <tableColumn id="25" xr3:uid="{00000000-0010-0000-0800-000019000000}" name="Địa chỉ: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9000000}" name="Merge18" displayName="Merge18" ref="A1:U22" tableType="queryTable" totalsRowShown="0">
  <autoFilter ref="A1:U22" xr:uid="{00000000-0009-0000-0100-000016000000}"/>
  <sortState xmlns:xlrd2="http://schemas.microsoft.com/office/spreadsheetml/2017/richdata2" ref="A2:U22">
    <sortCondition ref="A1:A22"/>
  </sortState>
  <tableColumns count="21">
    <tableColumn id="1" xr3:uid="{00000000-0010-0000-0900-000001000000}" uniqueName="1" name="TT" queryTableFieldId="1"/>
    <tableColumn id="2" xr3:uid="{00000000-0010-0000-0900-000002000000}" uniqueName="2" name="Mã HV" queryTableFieldId="2"/>
    <tableColumn id="3" xr3:uid="{00000000-0010-0000-0900-000003000000}" uniqueName="3" name="HỌ VÀ TÊN" queryTableFieldId="3" dataDxfId="123"/>
    <tableColumn id="4" xr3:uid="{00000000-0010-0000-0900-000004000000}" uniqueName="4" name="Ho va ten" queryTableFieldId="4" dataDxfId="122"/>
    <tableColumn id="5" xr3:uid="{00000000-0010-0000-0900-000005000000}" uniqueName="5" name="NĂM SINH" queryTableFieldId="5"/>
    <tableColumn id="6" xr3:uid="{00000000-0010-0000-0900-000006000000}" uniqueName="6" name="BẬC DẠY" queryTableFieldId="6" dataDxfId="121"/>
    <tableColumn id="7" xr3:uid="{00000000-0010-0000-0900-000007000000}" uniqueName="7" name="ĐƠN VỊ CÔNG TÁC" queryTableFieldId="7" dataDxfId="120"/>
    <tableColumn id="8" xr3:uid="{00000000-0010-0000-0900-000008000000}" uniqueName="8" name="PHƯỜNG/XÃ" queryTableFieldId="8" dataDxfId="119"/>
    <tableColumn id="9" xr3:uid="{00000000-0010-0000-0900-000009000000}" uniqueName="9" name="Số CCCD/_x000a_Hộ chiếu" queryTableFieldId="9"/>
    <tableColumn id="10" xr3:uid="{00000000-0010-0000-0900-00000A000000}" uniqueName="10" name="Mã ngạch viên chức" queryTableFieldId="10"/>
    <tableColumn id="11" xr3:uid="{00000000-0010-0000-0900-00000B000000}" uniqueName="11" name="Điểm IELTS đầu vào" queryTableFieldId="11"/>
    <tableColumn id="12" xr3:uid="{00000000-0010-0000-0900-00000C000000}" uniqueName="12" name="Điểm IELTS đầu ra cần đạt " queryTableFieldId="12"/>
    <tableColumn id="13" xr3:uid="{00000000-0010-0000-0900-00000D000000}" uniqueName="13" name="Kết quả thi IELTS  đầu ra" queryTableFieldId="13" dataDxfId="118"/>
    <tableColumn id="14" xr3:uid="{00000000-0010-0000-0900-00000E000000}" uniqueName="14" name="Column1" queryTableFieldId="14" dataDxfId="117"/>
    <tableColumn id="15" xr3:uid="{00000000-0010-0000-0900-00000F000000}" uniqueName="15" name="Column2" queryTableFieldId="15" dataDxfId="116"/>
    <tableColumn id="16" xr3:uid="{00000000-0010-0000-0900-000010000000}" uniqueName="16" name="Column3" queryTableFieldId="16" dataDxfId="115"/>
    <tableColumn id="17" xr3:uid="{00000000-0010-0000-0900-000011000000}" uniqueName="17" name="Column4" queryTableFieldId="17" dataDxfId="114"/>
    <tableColumn id="18" xr3:uid="{00000000-0010-0000-0900-000012000000}" uniqueName="18" name="KẾT QUẢ _x000a_(Đạt/Không đạt)" queryTableFieldId="18"/>
    <tableColumn id="19" xr3:uid="{00000000-0010-0000-0900-000013000000}" uniqueName="19" name="Append1.Mã ngạch viên chức" queryTableFieldId="19" dataDxfId="113"/>
    <tableColumn id="20" xr3:uid="{00000000-0010-0000-0900-000014000000}" uniqueName="20" name="Append1.Số CCCD" queryTableFieldId="20" dataDxfId="112"/>
    <tableColumn id="21" xr3:uid="{00000000-0010-0000-0900-000015000000}" uniqueName="21" name="Append1.Số Hộ chiếu" queryTableFieldId="2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A000000}" name="Merge19" displayName="Merge19" ref="A1:U22" tableType="queryTable" totalsRowShown="0">
  <autoFilter ref="A1:U22" xr:uid="{00000000-0009-0000-0100-000026000000}"/>
  <tableColumns count="21">
    <tableColumn id="1" xr3:uid="{00000000-0010-0000-0A00-000001000000}" uniqueName="1" name="Column1" queryTableFieldId="1"/>
    <tableColumn id="2" xr3:uid="{00000000-0010-0000-0A00-000002000000}" uniqueName="2" name="Column2" queryTableFieldId="2"/>
    <tableColumn id="3" xr3:uid="{00000000-0010-0000-0A00-000003000000}" uniqueName="3" name="Column3" queryTableFieldId="3" dataDxfId="111"/>
    <tableColumn id="4" xr3:uid="{00000000-0010-0000-0A00-000004000000}" uniqueName="4" name="Column32" queryTableFieldId="4" dataDxfId="110"/>
    <tableColumn id="5" xr3:uid="{00000000-0010-0000-0A00-000005000000}" uniqueName="5" name="Column4" queryTableFieldId="5"/>
    <tableColumn id="6" xr3:uid="{00000000-0010-0000-0A00-000006000000}" uniqueName="6" name="Column5" queryTableFieldId="6" dataDxfId="109"/>
    <tableColumn id="7" xr3:uid="{00000000-0010-0000-0A00-000007000000}" uniqueName="7" name="Column6" queryTableFieldId="7" dataDxfId="108"/>
    <tableColumn id="8" xr3:uid="{00000000-0010-0000-0A00-000008000000}" uniqueName="8" name="Column7" queryTableFieldId="8" dataDxfId="107"/>
    <tableColumn id="9" xr3:uid="{00000000-0010-0000-0A00-000009000000}" uniqueName="9" name="Column8" queryTableFieldId="9"/>
    <tableColumn id="10" xr3:uid="{00000000-0010-0000-0A00-00000A000000}" uniqueName="10" name="Column9" queryTableFieldId="10"/>
    <tableColumn id="11" xr3:uid="{00000000-0010-0000-0A00-00000B000000}" uniqueName="11" name="Column10" queryTableFieldId="11"/>
    <tableColumn id="12" xr3:uid="{00000000-0010-0000-0A00-00000C000000}" uniqueName="12" name="Column11" queryTableFieldId="12"/>
    <tableColumn id="13" xr3:uid="{00000000-0010-0000-0A00-00000D000000}" uniqueName="13" name="Column12" queryTableFieldId="13"/>
    <tableColumn id="14" xr3:uid="{00000000-0010-0000-0A00-00000E000000}" uniqueName="14" name="Column13" queryTableFieldId="14"/>
    <tableColumn id="15" xr3:uid="{00000000-0010-0000-0A00-00000F000000}" uniqueName="15" name="Column14" queryTableFieldId="15"/>
    <tableColumn id="16" xr3:uid="{00000000-0010-0000-0A00-000010000000}" uniqueName="16" name="Column15" queryTableFieldId="16"/>
    <tableColumn id="17" xr3:uid="{00000000-0010-0000-0A00-000011000000}" uniqueName="17" name="Column16" queryTableFieldId="17"/>
    <tableColumn id="18" xr3:uid="{00000000-0010-0000-0A00-000012000000}" uniqueName="18" name="Column17" queryTableFieldId="18"/>
    <tableColumn id="19" xr3:uid="{00000000-0010-0000-0A00-000013000000}" uniqueName="19" name="Append1.Mã ngạch viên chức" queryTableFieldId="19" dataDxfId="106"/>
    <tableColumn id="20" xr3:uid="{00000000-0010-0000-0A00-000014000000}" uniqueName="20" name="Append1.Số CCCD" queryTableFieldId="20" dataDxfId="105"/>
    <tableColumn id="21" xr3:uid="{00000000-0010-0000-0A00-000015000000}" uniqueName="21" name="Append1.Số Hộ chiếu" queryTableFieldId="2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B000000}" name="Merge20" displayName="Merge20" ref="A1:U21" tableType="queryTable" totalsRowShown="0">
  <autoFilter ref="A1:U21" xr:uid="{00000000-0009-0000-0100-000027000000}"/>
  <tableColumns count="21">
    <tableColumn id="1" xr3:uid="{00000000-0010-0000-0B00-000001000000}" uniqueName="1" name="Column1" queryTableFieldId="1"/>
    <tableColumn id="2" xr3:uid="{00000000-0010-0000-0B00-000002000000}" uniqueName="2" name="Column2" queryTableFieldId="2"/>
    <tableColumn id="3" xr3:uid="{00000000-0010-0000-0B00-000003000000}" uniqueName="3" name="Column3" queryTableFieldId="3" dataDxfId="104"/>
    <tableColumn id="4" xr3:uid="{00000000-0010-0000-0B00-000004000000}" uniqueName="4" name="Column4" queryTableFieldId="4" dataDxfId="103"/>
    <tableColumn id="5" xr3:uid="{00000000-0010-0000-0B00-000005000000}" uniqueName="5" name="Column5" queryTableFieldId="5"/>
    <tableColumn id="6" xr3:uid="{00000000-0010-0000-0B00-000006000000}" uniqueName="6" name="Column6" queryTableFieldId="6" dataDxfId="102"/>
    <tableColumn id="7" xr3:uid="{00000000-0010-0000-0B00-000007000000}" uniqueName="7" name="Column7" queryTableFieldId="7" dataDxfId="101"/>
    <tableColumn id="8" xr3:uid="{00000000-0010-0000-0B00-000008000000}" uniqueName="8" name="Column8" queryTableFieldId="8" dataDxfId="100"/>
    <tableColumn id="9" xr3:uid="{00000000-0010-0000-0B00-000009000000}" uniqueName="9" name="Column9" queryTableFieldId="9"/>
    <tableColumn id="10" xr3:uid="{00000000-0010-0000-0B00-00000A000000}" uniqueName="10" name="Column10" queryTableFieldId="10"/>
    <tableColumn id="11" xr3:uid="{00000000-0010-0000-0B00-00000B000000}" uniqueName="11" name="Column11" queryTableFieldId="11"/>
    <tableColumn id="12" xr3:uid="{00000000-0010-0000-0B00-00000C000000}" uniqueName="12" name="Column12" queryTableFieldId="12"/>
    <tableColumn id="13" xr3:uid="{00000000-0010-0000-0B00-00000D000000}" uniqueName="13" name="Column13" queryTableFieldId="13"/>
    <tableColumn id="14" xr3:uid="{00000000-0010-0000-0B00-00000E000000}" uniqueName="14" name="Column14" queryTableFieldId="14"/>
    <tableColumn id="15" xr3:uid="{00000000-0010-0000-0B00-00000F000000}" uniqueName="15" name="Column15" queryTableFieldId="15"/>
    <tableColumn id="16" xr3:uid="{00000000-0010-0000-0B00-000010000000}" uniqueName="16" name="Column16" queryTableFieldId="16"/>
    <tableColumn id="17" xr3:uid="{00000000-0010-0000-0B00-000011000000}" uniqueName="17" name="Column17" queryTableFieldId="17"/>
    <tableColumn id="18" xr3:uid="{00000000-0010-0000-0B00-000012000000}" uniqueName="18" name="Column18" queryTableFieldId="18"/>
    <tableColumn id="19" xr3:uid="{00000000-0010-0000-0B00-000013000000}" uniqueName="19" name="Append1.Mã ngạch viên chức" queryTableFieldId="19" dataDxfId="99"/>
    <tableColumn id="20" xr3:uid="{00000000-0010-0000-0B00-000014000000}" uniqueName="20" name="Append1.Số CCCD" queryTableFieldId="20" dataDxfId="98"/>
    <tableColumn id="21" xr3:uid="{00000000-0010-0000-0B00-000015000000}" uniqueName="21" name="Append1.Số Hộ chiếu" queryTableFieldId="2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C000000}" name="Merge21" displayName="Merge21" ref="A1:U22" tableType="queryTable" totalsRowShown="0">
  <autoFilter ref="A1:U22" xr:uid="{00000000-0009-0000-0100-000028000000}"/>
  <tableColumns count="21">
    <tableColumn id="1" xr3:uid="{00000000-0010-0000-0C00-000001000000}" uniqueName="1" name="Column1" queryTableFieldId="1"/>
    <tableColumn id="2" xr3:uid="{00000000-0010-0000-0C00-000002000000}" uniqueName="2" name="Column2" queryTableFieldId="2"/>
    <tableColumn id="3" xr3:uid="{00000000-0010-0000-0C00-000003000000}" uniqueName="3" name="Column3" queryTableFieldId="3" dataDxfId="97"/>
    <tableColumn id="4" xr3:uid="{00000000-0010-0000-0C00-000004000000}" uniqueName="4" name="Column4" queryTableFieldId="4" dataDxfId="96"/>
    <tableColumn id="5" xr3:uid="{00000000-0010-0000-0C00-000005000000}" uniqueName="5" name="Column5" queryTableFieldId="5"/>
    <tableColumn id="6" xr3:uid="{00000000-0010-0000-0C00-000006000000}" uniqueName="6" name="Column6" queryTableFieldId="6" dataDxfId="95"/>
    <tableColumn id="7" xr3:uid="{00000000-0010-0000-0C00-000007000000}" uniqueName="7" name="Column7" queryTableFieldId="7" dataDxfId="94"/>
    <tableColumn id="8" xr3:uid="{00000000-0010-0000-0C00-000008000000}" uniqueName="8" name="Column8" queryTableFieldId="8" dataDxfId="93"/>
    <tableColumn id="9" xr3:uid="{00000000-0010-0000-0C00-000009000000}" uniqueName="9" name="Column9" queryTableFieldId="9"/>
    <tableColumn id="10" xr3:uid="{00000000-0010-0000-0C00-00000A000000}" uniqueName="10" name="Column10" queryTableFieldId="10"/>
    <tableColumn id="11" xr3:uid="{00000000-0010-0000-0C00-00000B000000}" uniqueName="11" name="Column11" queryTableFieldId="11"/>
    <tableColumn id="12" xr3:uid="{00000000-0010-0000-0C00-00000C000000}" uniqueName="12" name="Column12" queryTableFieldId="12"/>
    <tableColumn id="13" xr3:uid="{00000000-0010-0000-0C00-00000D000000}" uniqueName="13" name="Column13" queryTableFieldId="13"/>
    <tableColumn id="14" xr3:uid="{00000000-0010-0000-0C00-00000E000000}" uniqueName="14" name="Column14" queryTableFieldId="14"/>
    <tableColumn id="15" xr3:uid="{00000000-0010-0000-0C00-00000F000000}" uniqueName="15" name="Column15" queryTableFieldId="15"/>
    <tableColumn id="16" xr3:uid="{00000000-0010-0000-0C00-000010000000}" uniqueName="16" name="Column16" queryTableFieldId="16"/>
    <tableColumn id="17" xr3:uid="{00000000-0010-0000-0C00-000011000000}" uniqueName="17" name="Column17" queryTableFieldId="17"/>
    <tableColumn id="18" xr3:uid="{00000000-0010-0000-0C00-000012000000}" uniqueName="18" name="Column18" queryTableFieldId="18"/>
    <tableColumn id="19" xr3:uid="{00000000-0010-0000-0C00-000013000000}" uniqueName="19" name="Append1.Mã ngạch viên chức" queryTableFieldId="19" dataDxfId="92"/>
    <tableColumn id="20" xr3:uid="{00000000-0010-0000-0C00-000014000000}" uniqueName="20" name="Append1.Số CCCD" queryTableFieldId="20" dataDxfId="91"/>
    <tableColumn id="21" xr3:uid="{00000000-0010-0000-0C00-000015000000}" uniqueName="21" name="Append1.Số Hộ chiếu" queryTableFieldId="2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0D000000}" name="Merge22" displayName="Merge22" ref="A1:U22" tableType="queryTable" totalsRowShown="0">
  <autoFilter ref="A1:U22" xr:uid="{00000000-0009-0000-0100-000029000000}"/>
  <tableColumns count="21">
    <tableColumn id="1" xr3:uid="{00000000-0010-0000-0D00-000001000000}" uniqueName="1" name="Column1" queryTableFieldId="1"/>
    <tableColumn id="2" xr3:uid="{00000000-0010-0000-0D00-000002000000}" uniqueName="2" name="Column2" queryTableFieldId="2"/>
    <tableColumn id="3" xr3:uid="{00000000-0010-0000-0D00-000003000000}" uniqueName="3" name="Column3" queryTableFieldId="3" dataDxfId="90"/>
    <tableColumn id="4" xr3:uid="{00000000-0010-0000-0D00-000004000000}" uniqueName="4" name="Column4" queryTableFieldId="4" dataDxfId="89"/>
    <tableColumn id="5" xr3:uid="{00000000-0010-0000-0D00-000005000000}" uniqueName="5" name="Column5" queryTableFieldId="5"/>
    <tableColumn id="6" xr3:uid="{00000000-0010-0000-0D00-000006000000}" uniqueName="6" name="Column6" queryTableFieldId="6" dataDxfId="88"/>
    <tableColumn id="7" xr3:uid="{00000000-0010-0000-0D00-000007000000}" uniqueName="7" name="Column7" queryTableFieldId="7" dataDxfId="87"/>
    <tableColumn id="8" xr3:uid="{00000000-0010-0000-0D00-000008000000}" uniqueName="8" name="Column8" queryTableFieldId="8" dataDxfId="86"/>
    <tableColumn id="9" xr3:uid="{00000000-0010-0000-0D00-000009000000}" uniqueName="9" name="Column9" queryTableFieldId="9"/>
    <tableColumn id="10" xr3:uid="{00000000-0010-0000-0D00-00000A000000}" uniqueName="10" name="Column10" queryTableFieldId="10"/>
    <tableColumn id="11" xr3:uid="{00000000-0010-0000-0D00-00000B000000}" uniqueName="11" name="Column11" queryTableFieldId="11"/>
    <tableColumn id="12" xr3:uid="{00000000-0010-0000-0D00-00000C000000}" uniqueName="12" name="Column12" queryTableFieldId="12"/>
    <tableColumn id="13" xr3:uid="{00000000-0010-0000-0D00-00000D000000}" uniqueName="13" name="Column13" queryTableFieldId="13"/>
    <tableColumn id="14" xr3:uid="{00000000-0010-0000-0D00-00000E000000}" uniqueName="14" name="Column14" queryTableFieldId="14"/>
    <tableColumn id="15" xr3:uid="{00000000-0010-0000-0D00-00000F000000}" uniqueName="15" name="Column15" queryTableFieldId="15"/>
    <tableColumn id="16" xr3:uid="{00000000-0010-0000-0D00-000010000000}" uniqueName="16" name="Column16" queryTableFieldId="16"/>
    <tableColumn id="17" xr3:uid="{00000000-0010-0000-0D00-000011000000}" uniqueName="17" name="Column17" queryTableFieldId="17"/>
    <tableColumn id="18" xr3:uid="{00000000-0010-0000-0D00-000012000000}" uniqueName="18" name="Column18" queryTableFieldId="18"/>
    <tableColumn id="19" xr3:uid="{00000000-0010-0000-0D00-000013000000}" uniqueName="19" name="Append1.Mã ngạch viên chức" queryTableFieldId="19" dataDxfId="85"/>
    <tableColumn id="20" xr3:uid="{00000000-0010-0000-0D00-000014000000}" uniqueName="20" name="Append1.Số CCCD" queryTableFieldId="20" dataDxfId="84"/>
    <tableColumn id="21" xr3:uid="{00000000-0010-0000-0D00-000015000000}" uniqueName="21" name="Append1.Số Hộ chiếu" queryTableFieldId="21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0E000000}" name="Merge23" displayName="Merge23" ref="A1:U23" tableType="queryTable" totalsRowShown="0">
  <autoFilter ref="A1:U23" xr:uid="{00000000-0009-0000-0100-00002A000000}"/>
  <tableColumns count="21">
    <tableColumn id="1" xr3:uid="{00000000-0010-0000-0E00-000001000000}" uniqueName="1" name="Column1" queryTableFieldId="1"/>
    <tableColumn id="2" xr3:uid="{00000000-0010-0000-0E00-000002000000}" uniqueName="2" name="Column2" queryTableFieldId="2"/>
    <tableColumn id="3" xr3:uid="{00000000-0010-0000-0E00-000003000000}" uniqueName="3" name="Column3" queryTableFieldId="3" dataDxfId="83"/>
    <tableColumn id="4" xr3:uid="{00000000-0010-0000-0E00-000004000000}" uniqueName="4" name="Column4" queryTableFieldId="4" dataDxfId="82"/>
    <tableColumn id="5" xr3:uid="{00000000-0010-0000-0E00-000005000000}" uniqueName="5" name="Column5" queryTableFieldId="5"/>
    <tableColumn id="6" xr3:uid="{00000000-0010-0000-0E00-000006000000}" uniqueName="6" name="Column6" queryTableFieldId="6" dataDxfId="81"/>
    <tableColumn id="7" xr3:uid="{00000000-0010-0000-0E00-000007000000}" uniqueName="7" name="Column7" queryTableFieldId="7" dataDxfId="80"/>
    <tableColumn id="8" xr3:uid="{00000000-0010-0000-0E00-000008000000}" uniqueName="8" name="Column8" queryTableFieldId="8" dataDxfId="79"/>
    <tableColumn id="9" xr3:uid="{00000000-0010-0000-0E00-000009000000}" uniqueName="9" name="Column9" queryTableFieldId="9"/>
    <tableColumn id="10" xr3:uid="{00000000-0010-0000-0E00-00000A000000}" uniqueName="10" name="Column10" queryTableFieldId="10"/>
    <tableColumn id="11" xr3:uid="{00000000-0010-0000-0E00-00000B000000}" uniqueName="11" name="Column11" queryTableFieldId="11"/>
    <tableColumn id="12" xr3:uid="{00000000-0010-0000-0E00-00000C000000}" uniqueName="12" name="Column12" queryTableFieldId="12"/>
    <tableColumn id="13" xr3:uid="{00000000-0010-0000-0E00-00000D000000}" uniqueName="13" name="Column13" queryTableFieldId="13"/>
    <tableColumn id="14" xr3:uid="{00000000-0010-0000-0E00-00000E000000}" uniqueName="14" name="Column14" queryTableFieldId="14"/>
    <tableColumn id="15" xr3:uid="{00000000-0010-0000-0E00-00000F000000}" uniqueName="15" name="Column15" queryTableFieldId="15"/>
    <tableColumn id="16" xr3:uid="{00000000-0010-0000-0E00-000010000000}" uniqueName="16" name="Column16" queryTableFieldId="16"/>
    <tableColumn id="17" xr3:uid="{00000000-0010-0000-0E00-000011000000}" uniqueName="17" name="Column17" queryTableFieldId="17"/>
    <tableColumn id="18" xr3:uid="{00000000-0010-0000-0E00-000012000000}" uniqueName="18" name="Column18" queryTableFieldId="18"/>
    <tableColumn id="19" xr3:uid="{00000000-0010-0000-0E00-000013000000}" uniqueName="19" name="Append1.Mã ngạch viên chức" queryTableFieldId="19" dataDxfId="78"/>
    <tableColumn id="20" xr3:uid="{00000000-0010-0000-0E00-000014000000}" uniqueName="20" name="Append1.Số CCCD" queryTableFieldId="20" dataDxfId="77"/>
    <tableColumn id="21" xr3:uid="{00000000-0010-0000-0E00-000015000000}" uniqueName="21" name="Append1.Số Hộ chiếu" queryTableFieldId="2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0F000000}" name="Merge24" displayName="Merge24" ref="A1:U21" tableType="queryTable" totalsRowShown="0">
  <autoFilter ref="A1:U21" xr:uid="{00000000-0009-0000-0100-00002B000000}"/>
  <tableColumns count="21">
    <tableColumn id="1" xr3:uid="{00000000-0010-0000-0F00-000001000000}" uniqueName="1" name="Column1" queryTableFieldId="1"/>
    <tableColumn id="2" xr3:uid="{00000000-0010-0000-0F00-000002000000}" uniqueName="2" name="Column2" queryTableFieldId="2"/>
    <tableColumn id="3" xr3:uid="{00000000-0010-0000-0F00-000003000000}" uniqueName="3" name="Column3" queryTableFieldId="3" dataDxfId="76"/>
    <tableColumn id="4" xr3:uid="{00000000-0010-0000-0F00-000004000000}" uniqueName="4" name="Column4" queryTableFieldId="4" dataDxfId="75"/>
    <tableColumn id="5" xr3:uid="{00000000-0010-0000-0F00-000005000000}" uniqueName="5" name="Column5" queryTableFieldId="5"/>
    <tableColumn id="6" xr3:uid="{00000000-0010-0000-0F00-000006000000}" uniqueName="6" name="Column6" queryTableFieldId="6" dataDxfId="74"/>
    <tableColumn id="7" xr3:uid="{00000000-0010-0000-0F00-000007000000}" uniqueName="7" name="Column7" queryTableFieldId="7" dataDxfId="73"/>
    <tableColumn id="8" xr3:uid="{00000000-0010-0000-0F00-000008000000}" uniqueName="8" name="Column8" queryTableFieldId="8" dataDxfId="72"/>
    <tableColumn id="9" xr3:uid="{00000000-0010-0000-0F00-000009000000}" uniqueName="9" name="Column9" queryTableFieldId="9"/>
    <tableColumn id="10" xr3:uid="{00000000-0010-0000-0F00-00000A000000}" uniqueName="10" name="Column10" queryTableFieldId="10"/>
    <tableColumn id="11" xr3:uid="{00000000-0010-0000-0F00-00000B000000}" uniqueName="11" name="Column11" queryTableFieldId="11"/>
    <tableColumn id="12" xr3:uid="{00000000-0010-0000-0F00-00000C000000}" uniqueName="12" name="Column12" queryTableFieldId="12"/>
    <tableColumn id="13" xr3:uid="{00000000-0010-0000-0F00-00000D000000}" uniqueName="13" name="Column13" queryTableFieldId="13"/>
    <tableColumn id="14" xr3:uid="{00000000-0010-0000-0F00-00000E000000}" uniqueName="14" name="Column14" queryTableFieldId="14"/>
    <tableColumn id="15" xr3:uid="{00000000-0010-0000-0F00-00000F000000}" uniqueName="15" name="Column15" queryTableFieldId="15"/>
    <tableColumn id="16" xr3:uid="{00000000-0010-0000-0F00-000010000000}" uniqueName="16" name="Column16" queryTableFieldId="16"/>
    <tableColumn id="17" xr3:uid="{00000000-0010-0000-0F00-000011000000}" uniqueName="17" name="Column17" queryTableFieldId="17"/>
    <tableColumn id="18" xr3:uid="{00000000-0010-0000-0F00-000012000000}" uniqueName="18" name="Column18" queryTableFieldId="18"/>
    <tableColumn id="19" xr3:uid="{00000000-0010-0000-0F00-000013000000}" uniqueName="19" name="Append1.Mã ngạch viên chức" queryTableFieldId="19" dataDxfId="71"/>
    <tableColumn id="20" xr3:uid="{00000000-0010-0000-0F00-000014000000}" uniqueName="20" name="Append1.Số CCCD" queryTableFieldId="20" dataDxfId="70"/>
    <tableColumn id="21" xr3:uid="{00000000-0010-0000-0F00-000015000000}" uniqueName="21" name="Append1.Số Hộ chiếu" queryTableFieldId="21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724E0A-DDA6-480D-8644-EBA206008266}" name="TableScroe" displayName="TableScroe" ref="A1:N59" tableType="queryTable" totalsRowShown="0">
  <autoFilter ref="A1:N59" xr:uid="{31724E0A-DDA6-480D-8644-EBA206008266}"/>
  <tableColumns count="14">
    <tableColumn id="15" xr3:uid="{C6982C68-8CB4-452B-9058-2879E6E0D95A}" uniqueName="15" name="FULL_NAME" queryTableFieldId="1" dataDxfId="69"/>
    <tableColumn id="2" xr3:uid="{53757FDC-1394-4805-AB91-819616DECF41}" uniqueName="2" name="NHÀ ĐÀO TẠO" queryTableFieldId="2" dataDxfId="68"/>
    <tableColumn id="3" xr3:uid="{C71C8CD6-0BD8-456C-B53D-2420D0E5B8E1}" uniqueName="3" name="TELEPHONE" queryTableFieldId="3"/>
    <tableColumn id="4" xr3:uid="{FB6EFD04-CFCE-4548-9C11-FEBD2FB05E02}" uniqueName="4" name="EMAILID" queryTableFieldId="4" dataDxfId="67"/>
    <tableColumn id="5" xr3:uid="{68F7AE30-9451-46F3-B09A-AB5BA708F479}" uniqueName="5" name="BIRTH_DATE" queryTableFieldId="5"/>
    <tableColumn id="6" xr3:uid="{CF00E00E-962E-4B88-82F1-8D043D21079B}" uniqueName="6" name="GENDER" queryTableFieldId="6" dataDxfId="66"/>
    <tableColumn id="7" xr3:uid="{BCFEDAC7-BB7D-4C32-A3F2-03E96154BB12}" uniqueName="7" name="IDENTITY" queryTableFieldId="7" dataDxfId="65"/>
    <tableColumn id="8" xr3:uid="{C82C28EA-0089-42AF-9BA3-EC95FD39B30E}" uniqueName="8" name="CANDIDATE_ID" queryTableFieldId="8"/>
    <tableColumn id="9" xr3:uid="{B27C0BD8-587F-45F2-9CA4-E8AEC27B6413}" uniqueName="9" name="TEST_DATE" queryTableFieldId="9" dataDxfId="64"/>
    <tableColumn id="10" xr3:uid="{00F7EAED-6932-4B7A-B8F0-E59BB99960ED}" uniqueName="10" name="Band Score" queryTableFieldId="10"/>
    <tableColumn id="11" xr3:uid="{362137B5-FE70-47A0-8FF1-9D718E1F59E7}" uniqueName="11" name="Listening" queryTableFieldId="11"/>
    <tableColumn id="12" xr3:uid="{8ED1FCDD-FA9A-4F48-9AB3-0C3C3C6ADBE1}" uniqueName="12" name="Reading" queryTableFieldId="12"/>
    <tableColumn id="13" xr3:uid="{DA9250D6-2317-4BCF-92D7-B17799F01484}" uniqueName="13" name="Writing" queryTableFieldId="13"/>
    <tableColumn id="14" xr3:uid="{93CAF9E5-9DBA-47DF-B115-0C4FE090D4AE}" uniqueName="14" name="Speaking" queryTableFieldId="1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564906-9E11-444B-BE33-9136BF12641E}" name="TableFinal" displayName="TableFinal" ref="A1:U141" tableType="queryTable" totalsRowShown="0">
  <autoFilter ref="A1:U141" xr:uid="{33564906-9E11-444B-BE33-9136BF12641E}"/>
  <tableColumns count="21">
    <tableColumn id="22" xr3:uid="{75282AB4-55B1-4A55-938F-E79FA9A03120}" uniqueName="22" name="Column1" queryTableFieldId="1"/>
    <tableColumn id="2" xr3:uid="{977C9EDE-655B-41ED-9638-5B9877697F6A}" uniqueName="2" name="Column2" queryTableFieldId="2" dataDxfId="45"/>
    <tableColumn id="3" xr3:uid="{10D03F6D-B757-451F-84A5-D28DD887169E}" uniqueName="3" name="Column22" queryTableFieldId="3" dataDxfId="44"/>
    <tableColumn id="4" xr3:uid="{8CDA45E4-171C-45A9-B790-3EE1928207F6}" uniqueName="4" name="Column3" queryTableFieldId="4" dataDxfId="43"/>
    <tableColumn id="5" xr3:uid="{7C5C9596-A044-4E46-8499-B350C7BCE8B6}" uniqueName="5" name="Column4" queryTableFieldId="5"/>
    <tableColumn id="6" xr3:uid="{DAB60955-1069-407B-827F-BCBB142D91B5}" uniqueName="6" name="Column5" queryTableFieldId="6" dataDxfId="42"/>
    <tableColumn id="7" xr3:uid="{1CADC824-63AE-4514-BF23-8EE4A5ACD6B8}" uniqueName="7" name="Column6" queryTableFieldId="7" dataDxfId="41"/>
    <tableColumn id="8" xr3:uid="{8AF9AA38-815A-4B8F-8023-4E0AEFFE03B5}" uniqueName="8" name="Column7" queryTableFieldId="8" dataDxfId="40"/>
    <tableColumn id="9" xr3:uid="{74BC505E-CFFE-462D-B1DF-052CD859BF23}" uniqueName="9" name="Column8" queryTableFieldId="9"/>
    <tableColumn id="10" xr3:uid="{E86320D9-4453-4B6B-BF69-C1ADC30724F7}" uniqueName="10" name="Column9" queryTableFieldId="10"/>
    <tableColumn id="11" xr3:uid="{8225FA54-8B50-46FD-BB39-1136966144C7}" uniqueName="11" name="Column10" queryTableFieldId="11"/>
    <tableColumn id="12" xr3:uid="{8330F428-64B2-40DD-9050-1375CD54DC5B}" uniqueName="12" name="Column11" queryTableFieldId="12"/>
    <tableColumn id="13" xr3:uid="{BF06DB5A-E4BE-4ABE-944A-0BED877AE50F}" uniqueName="13" name="Column12" queryTableFieldId="13"/>
    <tableColumn id="14" xr3:uid="{694CD5A8-6DB7-4FDA-8F65-73FD60E25398}" uniqueName="14" name="Column13" queryTableFieldId="14"/>
    <tableColumn id="15" xr3:uid="{8AA23D5E-02A5-40E2-954A-F8ABCC7AC282}" uniqueName="15" name="Column14" queryTableFieldId="15"/>
    <tableColumn id="16" xr3:uid="{5355DD93-D01A-4749-8587-2BA2252C5F03}" uniqueName="16" name="Column15" queryTableFieldId="16"/>
    <tableColumn id="17" xr3:uid="{9D37ACF5-FD46-40E7-AF94-006E55BD2015}" uniqueName="17" name="Column16" queryTableFieldId="17"/>
    <tableColumn id="18" xr3:uid="{6C73579A-8C8C-4EAC-9B20-14D111BAED17}" uniqueName="18" name="Column17" queryTableFieldId="18"/>
    <tableColumn id="19" xr3:uid="{7FB3A172-EAA5-4F86-954A-E31304303DAE}" uniqueName="19" name="Column18" queryTableFieldId="19"/>
    <tableColumn id="20" xr3:uid="{629C3B66-4EB5-4573-8A2F-6E8DE7AAF675}" uniqueName="20" name="Column19" queryTableFieldId="20"/>
    <tableColumn id="21" xr3:uid="{6EBBA923-F5F2-4C31-94B2-F81BEA02430E}" uniqueName="21" name="Column20" queryTableFieldId="2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2CB2A2-95C8-4744-9DFF-46012ED5239B}" name="MergeFinalScore" displayName="MergeFinalScore" ref="A1:Z141" tableType="queryTable" totalsRowShown="0">
  <autoFilter ref="A1:Z141" xr:uid="{2F2CB2A2-95C8-4744-9DFF-46012ED5239B}"/>
  <tableColumns count="26">
    <tableColumn id="27" xr3:uid="{CB3E6D67-541D-42E9-ADBA-BD91636037E5}" uniqueName="27" name="Column1" queryTableFieldId="1"/>
    <tableColumn id="2" xr3:uid="{6C974576-7694-494F-A61F-E58A6C8072CE}" uniqueName="2" name="Column2" queryTableFieldId="2" dataDxfId="15"/>
    <tableColumn id="3" xr3:uid="{66E81D1E-D12E-4A4E-932E-8A05A2CE0A81}" uniqueName="3" name="Column22" queryTableFieldId="3" dataDxfId="14"/>
    <tableColumn id="4" xr3:uid="{ABCCB9D4-3956-4CDE-A287-2A459CCF0673}" uniqueName="4" name="Column3" queryTableFieldId="4" dataDxfId="13"/>
    <tableColumn id="5" xr3:uid="{DC78277D-B741-4353-9AAA-AFE186486469}" uniqueName="5" name="Column4" queryTableFieldId="5"/>
    <tableColumn id="6" xr3:uid="{91D96FA6-9209-4AFE-A4AF-56498B3C94CD}" uniqueName="6" name="Column5" queryTableFieldId="6" dataDxfId="12"/>
    <tableColumn id="7" xr3:uid="{C2E09E70-9008-4F8A-876C-67BAFB0452B5}" uniqueName="7" name="Column6" queryTableFieldId="7" dataDxfId="11"/>
    <tableColumn id="8" xr3:uid="{681EE2D0-C167-48CA-802E-E0FDBBCB3C9B}" uniqueName="8" name="Column7" queryTableFieldId="8" dataDxfId="10"/>
    <tableColumn id="9" xr3:uid="{F7D0399C-DC26-4793-BB08-09CFFA664927}" uniqueName="9" name="Column8" queryTableFieldId="9"/>
    <tableColumn id="10" xr3:uid="{84665DE2-DCAA-4177-ABFD-2FC6948AA88C}" uniqueName="10" name="Column9" queryTableFieldId="10"/>
    <tableColumn id="11" xr3:uid="{BF56263E-5D2E-4D15-B5D2-B8B4B4FEED0E}" uniqueName="11" name="Column10" queryTableFieldId="11"/>
    <tableColumn id="12" xr3:uid="{9BD683B3-2464-4DBA-8A66-AF1A296BCBED}" uniqueName="12" name="Column11" queryTableFieldId="12"/>
    <tableColumn id="13" xr3:uid="{69EF6E0F-807E-48D3-B54B-746E55C329E8}" uniqueName="13" name="Column12" queryTableFieldId="13"/>
    <tableColumn id="14" xr3:uid="{964BF5AF-8C72-4DD4-8975-E3A95D19B83A}" uniqueName="14" name="Column13" queryTableFieldId="14"/>
    <tableColumn id="15" xr3:uid="{9733F10C-19D3-4119-8B3F-C7948F8A0AE6}" uniqueName="15" name="Column14" queryTableFieldId="15"/>
    <tableColumn id="16" xr3:uid="{26A1D9C6-25C0-4383-ABCA-22B5C3971C8B}" uniqueName="16" name="Column15" queryTableFieldId="16"/>
    <tableColumn id="17" xr3:uid="{9DB6AF60-ADCD-4AD4-9547-4993F5C73FFA}" uniqueName="17" name="Column16" queryTableFieldId="17"/>
    <tableColumn id="18" xr3:uid="{063B2C60-E733-457C-AD56-71C6A4841A9C}" uniqueName="18" name="Column17" queryTableFieldId="18"/>
    <tableColumn id="19" xr3:uid="{946B0C28-E74E-4E83-9C46-308807937973}" uniqueName="19" name="Column18" queryTableFieldId="19"/>
    <tableColumn id="20" xr3:uid="{297EB798-4E8F-4649-B2CD-35B849F0C625}" uniqueName="20" name="Column19" queryTableFieldId="20"/>
    <tableColumn id="21" xr3:uid="{5DCCD82E-D6B9-4553-BDA9-9719216B3076}" uniqueName="21" name="Column20" queryTableFieldId="21"/>
    <tableColumn id="22" xr3:uid="{893C04A1-AC41-47D6-9DEB-0BC6F838CDBD}" uniqueName="22" name="TableScroe.Band Score" queryTableFieldId="22" dataDxfId="9"/>
    <tableColumn id="23" xr3:uid="{6B10A060-D388-4B42-AB40-4C70D14F76E7}" uniqueName="23" name="TableScroe.Listening" queryTableFieldId="23" dataDxfId="8"/>
    <tableColumn id="24" xr3:uid="{33B4BF4C-E0D3-46CA-BE37-C2262C685287}" uniqueName="24" name="TableScroe.Reading" queryTableFieldId="24" dataDxfId="7"/>
    <tableColumn id="25" xr3:uid="{493CF9EB-377A-432D-B79A-3E1238F3157F}" uniqueName="25" name="TableScroe.Writing" queryTableFieldId="25" dataDxfId="6"/>
    <tableColumn id="26" xr3:uid="{517E9E4F-A69A-4FBF-920F-5C7B02584471}" uniqueName="26" name="TableScroe.Speaking" queryTableFieldId="26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qsqELRBE4PmS7st53zN8W79n-TwL2mc0" TargetMode="External"/><Relationship Id="rId117" Type="http://schemas.openxmlformats.org/officeDocument/2006/relationships/hyperlink" Target="https://drive.google.com/open?id=16B9X4POr_VAAUSnzk5ce_3Y3hT1HB-9x" TargetMode="External"/><Relationship Id="rId21" Type="http://schemas.openxmlformats.org/officeDocument/2006/relationships/hyperlink" Target="https://drive.google.com/open?id=1cf12qGUbaA8iaE9xjNr6i4xwbpaUrW2l" TargetMode="External"/><Relationship Id="rId42" Type="http://schemas.openxmlformats.org/officeDocument/2006/relationships/hyperlink" Target="https://drive.google.com/open?id=1CEwdajPqvA4nYhwDW9dZcDXTSTBXWlLv" TargetMode="External"/><Relationship Id="rId47" Type="http://schemas.openxmlformats.org/officeDocument/2006/relationships/hyperlink" Target="https://drive.google.com/open?id=1l1-PLhhcQVN1DSvpeZK6786QIjv7eifU" TargetMode="External"/><Relationship Id="rId63" Type="http://schemas.openxmlformats.org/officeDocument/2006/relationships/hyperlink" Target="https://drive.google.com/open?id=1I4BAF6XUtXX-SDHRlz1Axvznhf9kv65M" TargetMode="External"/><Relationship Id="rId68" Type="http://schemas.openxmlformats.org/officeDocument/2006/relationships/hyperlink" Target="https://drive.google.com/open?id=1D-YsPzmJ26J_dpcWwQRmWfHlXGda_ibY" TargetMode="External"/><Relationship Id="rId84" Type="http://schemas.openxmlformats.org/officeDocument/2006/relationships/hyperlink" Target="https://drive.google.com/open?id=1jg0tydedKrW5pWm4RLn0GCQJBOqNLl5x" TargetMode="External"/><Relationship Id="rId89" Type="http://schemas.openxmlformats.org/officeDocument/2006/relationships/hyperlink" Target="https://drive.google.com/open?id=1fw7LYCFCVWnovU5SGioLpwxUOMLP4CXS" TargetMode="External"/><Relationship Id="rId112" Type="http://schemas.openxmlformats.org/officeDocument/2006/relationships/hyperlink" Target="https://drive.google.com/open?id=1CMdqhr0lW4EeMy9BPZKQNZIbW1oZ0umj" TargetMode="External"/><Relationship Id="rId16" Type="http://schemas.openxmlformats.org/officeDocument/2006/relationships/hyperlink" Target="https://drive.google.com/open?id=1m6guaRKU7WDo9PsXhOrQPOtorN8uXYh4" TargetMode="External"/><Relationship Id="rId107" Type="http://schemas.openxmlformats.org/officeDocument/2006/relationships/hyperlink" Target="https://drive.google.com/open?id=12KK3ioOB8ewVD1j7dZsnsk85oV8liwzE" TargetMode="External"/><Relationship Id="rId11" Type="http://schemas.openxmlformats.org/officeDocument/2006/relationships/hyperlink" Target="https://drive.google.com/open?id=1ulIT4bxf1lWRPqyMMJVYF7sChAUKLsQd" TargetMode="External"/><Relationship Id="rId32" Type="http://schemas.openxmlformats.org/officeDocument/2006/relationships/hyperlink" Target="https://drive.google.com/open?id=1ZWn6sUejpbTUV02a8KEd6bDrgtIs89rj" TargetMode="External"/><Relationship Id="rId37" Type="http://schemas.openxmlformats.org/officeDocument/2006/relationships/hyperlink" Target="https://drive.google.com/open?id=1byzHs6nPN8ZiCUchYaVMO0617p6_sUR0" TargetMode="External"/><Relationship Id="rId53" Type="http://schemas.openxmlformats.org/officeDocument/2006/relationships/hyperlink" Target="https://drive.google.com/open?id=1CKcujb0Lf03xKP1M3r0_HP8bJR6dvW-C" TargetMode="External"/><Relationship Id="rId58" Type="http://schemas.openxmlformats.org/officeDocument/2006/relationships/hyperlink" Target="https://drive.google.com/open?id=1Q48qeg4nda5UpqGACWwSYxt0NaAgJ4oD" TargetMode="External"/><Relationship Id="rId74" Type="http://schemas.openxmlformats.org/officeDocument/2006/relationships/hyperlink" Target="https://drive.google.com/open?id=1Si466HkaUhOsD_Fw1dP9zK6rMYVnD_9o" TargetMode="External"/><Relationship Id="rId79" Type="http://schemas.openxmlformats.org/officeDocument/2006/relationships/hyperlink" Target="https://drive.google.com/open?id=1-91pUTfGiy9Otrc9Xr9KFiDwtSk9Jszs" TargetMode="External"/><Relationship Id="rId102" Type="http://schemas.openxmlformats.org/officeDocument/2006/relationships/hyperlink" Target="https://drive.google.com/open?id=1h_H1KXGAmBmuJ4gFNwNs--Zmd6v6d-qG" TargetMode="External"/><Relationship Id="rId123" Type="http://schemas.openxmlformats.org/officeDocument/2006/relationships/hyperlink" Target="https://drive.google.com/open?id=1k0v-dAgn5O9dWlU84szSAu-offWvxKkk" TargetMode="External"/><Relationship Id="rId5" Type="http://schemas.openxmlformats.org/officeDocument/2006/relationships/hyperlink" Target="https://drive.google.com/open?id=1QFRJVZAUDIYaU0ZB4MT8Vq97UklBYumo" TargetMode="External"/><Relationship Id="rId90" Type="http://schemas.openxmlformats.org/officeDocument/2006/relationships/hyperlink" Target="https://drive.google.com/open?id=1yFq8_Yp9J2m0N3SuPZJjGRaH4_i8xRiO" TargetMode="External"/><Relationship Id="rId95" Type="http://schemas.openxmlformats.org/officeDocument/2006/relationships/hyperlink" Target="https://drive.google.com/open?id=13Pmyxn0iNTFYghwb0dDayPr0S6xcaDHJ" TargetMode="External"/><Relationship Id="rId19" Type="http://schemas.openxmlformats.org/officeDocument/2006/relationships/hyperlink" Target="https://drive.google.com/open?id=1wwRQO5DiGMgM5-VzysSHz7tB6Wnl__W1" TargetMode="External"/><Relationship Id="rId14" Type="http://schemas.openxmlformats.org/officeDocument/2006/relationships/hyperlink" Target="https://drive.google.com/open?id=1BYDEqctI9f8YRrnHwkGr7hrYDMCoMeGh" TargetMode="External"/><Relationship Id="rId22" Type="http://schemas.openxmlformats.org/officeDocument/2006/relationships/hyperlink" Target="https://drive.google.com/open?id=12PN8RIHT8qCVZ9rGtSTqyxdl6w8eC0ri" TargetMode="External"/><Relationship Id="rId27" Type="http://schemas.openxmlformats.org/officeDocument/2006/relationships/hyperlink" Target="https://drive.google.com/open?id=1DMXIRXBf7pj97P5saYyegAOgAC1MkNKV" TargetMode="External"/><Relationship Id="rId30" Type="http://schemas.openxmlformats.org/officeDocument/2006/relationships/hyperlink" Target="https://drive.google.com/open?id=1gaefBEVNRwUUsR9QE_RmWoG08XNf5p1z" TargetMode="External"/><Relationship Id="rId35" Type="http://schemas.openxmlformats.org/officeDocument/2006/relationships/hyperlink" Target="https://drive.google.com/open?id=1iRfT8yeXzKS3DXLTmXcxrydBTRpr6lKs" TargetMode="External"/><Relationship Id="rId43" Type="http://schemas.openxmlformats.org/officeDocument/2006/relationships/hyperlink" Target="https://drive.google.com/open?id=1Bl1-MylwiUXKmxTHXGa7gbq4obbEqEhN" TargetMode="External"/><Relationship Id="rId48" Type="http://schemas.openxmlformats.org/officeDocument/2006/relationships/hyperlink" Target="https://drive.google.com/open?id=15fagoAmh2L-JiMr6Y-ou2UR9GqUGcCFX" TargetMode="External"/><Relationship Id="rId56" Type="http://schemas.openxmlformats.org/officeDocument/2006/relationships/hyperlink" Target="https://drive.google.com/open?id=1Zm_Qmjfln8k6jYojNVyUsgfrO5xtjEZZ" TargetMode="External"/><Relationship Id="rId64" Type="http://schemas.openxmlformats.org/officeDocument/2006/relationships/hyperlink" Target="https://drive.google.com/open?id=18kfHsjSD0Om9JhaH6tEkJnQPce3EzBK9" TargetMode="External"/><Relationship Id="rId69" Type="http://schemas.openxmlformats.org/officeDocument/2006/relationships/hyperlink" Target="https://drive.google.com/open?id=1mOWf25Tq106txEOOA1cZs7KfcNgne0J7" TargetMode="External"/><Relationship Id="rId77" Type="http://schemas.openxmlformats.org/officeDocument/2006/relationships/hyperlink" Target="https://drive.google.com/open?id=1aA-EFwmWBJw2QmM5ztwCpWYcWsE1ulGZ" TargetMode="External"/><Relationship Id="rId100" Type="http://schemas.openxmlformats.org/officeDocument/2006/relationships/hyperlink" Target="https://drive.google.com/open?id=1V9W46N7TR2t3q0h7M14BmZ8j_7PK9XnH" TargetMode="External"/><Relationship Id="rId105" Type="http://schemas.openxmlformats.org/officeDocument/2006/relationships/hyperlink" Target="https://drive.google.com/open?id=11kfOqmI7wDQwy73E8wpW9AiC3l2o6jBq" TargetMode="External"/><Relationship Id="rId113" Type="http://schemas.openxmlformats.org/officeDocument/2006/relationships/hyperlink" Target="https://drive.google.com/open?id=1HZQOoH9mZiUPWJPxF4Fas1ckGvFn9Fsl" TargetMode="External"/><Relationship Id="rId118" Type="http://schemas.openxmlformats.org/officeDocument/2006/relationships/hyperlink" Target="https://drive.google.com/open?id=1sj4QiuZ0gX_akpX_3c6vLhHO90lQhAGW" TargetMode="External"/><Relationship Id="rId126" Type="http://schemas.openxmlformats.org/officeDocument/2006/relationships/hyperlink" Target="https://drive.google.com/open?id=18tVQ_jXYleMAveZwVmqQxq_UB-oHS0E8" TargetMode="External"/><Relationship Id="rId8" Type="http://schemas.openxmlformats.org/officeDocument/2006/relationships/hyperlink" Target="https://drive.google.com/open?id=1COapAXpbaTx9M_BigdOlq2fnoZMZmhyr" TargetMode="External"/><Relationship Id="rId51" Type="http://schemas.openxmlformats.org/officeDocument/2006/relationships/hyperlink" Target="https://drive.google.com/open?id=1euJR7jDwtRQKsDnH3nj5KbkJG9YkerKK" TargetMode="External"/><Relationship Id="rId72" Type="http://schemas.openxmlformats.org/officeDocument/2006/relationships/hyperlink" Target="https://drive.google.com/open?id=1Rqh7d5bdNkChWOmRKorXvcQHceRrYb4s" TargetMode="External"/><Relationship Id="rId80" Type="http://schemas.openxmlformats.org/officeDocument/2006/relationships/hyperlink" Target="https://drive.google.com/open?id=1tkgppJ6nrETxbDlQuiglyIMdPxjljzwZ" TargetMode="External"/><Relationship Id="rId85" Type="http://schemas.openxmlformats.org/officeDocument/2006/relationships/hyperlink" Target="https://drive.google.com/open?id=18e8wjAssBnFIw7wwKWG6YqPk-f8248xk" TargetMode="External"/><Relationship Id="rId93" Type="http://schemas.openxmlformats.org/officeDocument/2006/relationships/hyperlink" Target="https://drive.google.com/open?id=12kbUQ3jOIq1if9EOeaayEYcNMOxkpnml" TargetMode="External"/><Relationship Id="rId98" Type="http://schemas.openxmlformats.org/officeDocument/2006/relationships/hyperlink" Target="https://drive.google.com/open?id=1lyLLkkMY3Nmw03sEotOH8D-bjkeRu1_o" TargetMode="External"/><Relationship Id="rId121" Type="http://schemas.openxmlformats.org/officeDocument/2006/relationships/hyperlink" Target="https://drive.google.com/open?id=1FbeGeYoCfMRG4idw969muVGQJjuOu8vN" TargetMode="External"/><Relationship Id="rId3" Type="http://schemas.openxmlformats.org/officeDocument/2006/relationships/hyperlink" Target="https://drive.google.com/open?id=1Rj4pAwCv-xueteofcmDvhrGFrNd-BjTS" TargetMode="External"/><Relationship Id="rId12" Type="http://schemas.openxmlformats.org/officeDocument/2006/relationships/hyperlink" Target="https://drive.google.com/open?id=1wyD0GN-qkzIQQtFZVVZNeweV68mYjT-L" TargetMode="External"/><Relationship Id="rId17" Type="http://schemas.openxmlformats.org/officeDocument/2006/relationships/hyperlink" Target="https://drive.google.com/open?id=1QIuu9TQyxMgbIoytZmjsZZum_podiezO" TargetMode="External"/><Relationship Id="rId25" Type="http://schemas.openxmlformats.org/officeDocument/2006/relationships/hyperlink" Target="https://drive.google.com/open?id=1IaosiBJ4Qj4L84jiVPx6YmchN_XYoRnQ" TargetMode="External"/><Relationship Id="rId33" Type="http://schemas.openxmlformats.org/officeDocument/2006/relationships/hyperlink" Target="https://drive.google.com/open?id=10oZyDb0gUAkb3SlVUxyOKnMrBJ906RKm" TargetMode="External"/><Relationship Id="rId38" Type="http://schemas.openxmlformats.org/officeDocument/2006/relationships/hyperlink" Target="https://drive.google.com/open?id=115LnKXYa_W97LSBtBoXVt9Dqr7IVcz-Y" TargetMode="External"/><Relationship Id="rId46" Type="http://schemas.openxmlformats.org/officeDocument/2006/relationships/hyperlink" Target="https://drive.google.com/open?id=1CkBw_5EofgvJGjipFbRJtb6RzgdqPIrn" TargetMode="External"/><Relationship Id="rId59" Type="http://schemas.openxmlformats.org/officeDocument/2006/relationships/hyperlink" Target="https://drive.google.com/open?id=1GEk_uoRuMVVXryI-edtqvQlHvZlAmJqv" TargetMode="External"/><Relationship Id="rId67" Type="http://schemas.openxmlformats.org/officeDocument/2006/relationships/hyperlink" Target="https://drive.google.com/open?id=1pq8bYx0ML9Es3FcMbhXYZxQH3exPB2d6" TargetMode="External"/><Relationship Id="rId103" Type="http://schemas.openxmlformats.org/officeDocument/2006/relationships/hyperlink" Target="https://drive.google.com/open?id=1iW0hzCpqK-vbHmvLDjW2yR0Vw_2pyw1w" TargetMode="External"/><Relationship Id="rId108" Type="http://schemas.openxmlformats.org/officeDocument/2006/relationships/hyperlink" Target="https://drive.google.com/open?id=1APyDwa6ZYfojg-SxePl0uG8S6F3glDQ-" TargetMode="External"/><Relationship Id="rId116" Type="http://schemas.openxmlformats.org/officeDocument/2006/relationships/hyperlink" Target="https://drive.google.com/open?id=18uEOc06IfM6nvRE8QdPaj-5mLMKpzDzn" TargetMode="External"/><Relationship Id="rId124" Type="http://schemas.openxmlformats.org/officeDocument/2006/relationships/hyperlink" Target="https://drive.google.com/open?id=1n5GtQOB58jyc2u3l3QTSevHX2I0cBTXU" TargetMode="External"/><Relationship Id="rId20" Type="http://schemas.openxmlformats.org/officeDocument/2006/relationships/hyperlink" Target="https://drive.google.com/open?id=19bLDyrDioXKFSuqgWQN1fLre-TB-zUuM" TargetMode="External"/><Relationship Id="rId41" Type="http://schemas.openxmlformats.org/officeDocument/2006/relationships/hyperlink" Target="https://drive.google.com/open?id=1zhgyJqLZ7bHJVNSSSW9XO11Q-bFFNj4I" TargetMode="External"/><Relationship Id="rId54" Type="http://schemas.openxmlformats.org/officeDocument/2006/relationships/hyperlink" Target="https://drive.google.com/open?id=17i6HC0LNT0MmBJ2fNXz1Gko4JLU9yX6A" TargetMode="External"/><Relationship Id="rId62" Type="http://schemas.openxmlformats.org/officeDocument/2006/relationships/hyperlink" Target="https://drive.google.com/open?id=1DOzR3Fzc3ikJH83onVe-ImCoZcpycOkC" TargetMode="External"/><Relationship Id="rId70" Type="http://schemas.openxmlformats.org/officeDocument/2006/relationships/hyperlink" Target="https://drive.google.com/open?id=19wEyXIF0mTnPzemB-zzfFAIW5rjU-xYg" TargetMode="External"/><Relationship Id="rId75" Type="http://schemas.openxmlformats.org/officeDocument/2006/relationships/hyperlink" Target="https://drive.google.com/open?id=1G4z3mREEdKw3YoVK310VzkzQOKVtiYec" TargetMode="External"/><Relationship Id="rId83" Type="http://schemas.openxmlformats.org/officeDocument/2006/relationships/hyperlink" Target="https://drive.google.com/open?id=1RLNdcYd6nbmpArOstb5T6vxcdg-4aqs9" TargetMode="External"/><Relationship Id="rId88" Type="http://schemas.openxmlformats.org/officeDocument/2006/relationships/hyperlink" Target="https://drive.google.com/open?id=1AjDKMWjXa0NBd7_Z1aE810eCHYkEc4tN" TargetMode="External"/><Relationship Id="rId91" Type="http://schemas.openxmlformats.org/officeDocument/2006/relationships/hyperlink" Target="https://drive.google.com/open?id=1_aUp3VfvfjoFTtLIj5gnZ9ppa_2JuGzr" TargetMode="External"/><Relationship Id="rId96" Type="http://schemas.openxmlformats.org/officeDocument/2006/relationships/hyperlink" Target="https://drive.google.com/open?id=1Mg8XDnLPAb7i4cLFU1WinqFB6xfBHYYj" TargetMode="External"/><Relationship Id="rId111" Type="http://schemas.openxmlformats.org/officeDocument/2006/relationships/hyperlink" Target="https://drive.google.com/open?id=1SrZd5Ew7a9Nyi4_jDr7OMg1pMWPSUt-Q" TargetMode="External"/><Relationship Id="rId1" Type="http://schemas.openxmlformats.org/officeDocument/2006/relationships/hyperlink" Target="https://drive.google.com/open?id=1D1X7neiq8ARAgYbnZTr2SuT91QqLFhyW" TargetMode="External"/><Relationship Id="rId6" Type="http://schemas.openxmlformats.org/officeDocument/2006/relationships/hyperlink" Target="https://drive.google.com/open?id=1L8oRPBnDS2GkFMfqVd6MGhJMqG3oAvWV" TargetMode="External"/><Relationship Id="rId15" Type="http://schemas.openxmlformats.org/officeDocument/2006/relationships/hyperlink" Target="https://drive.google.com/open?id=1qSRKOc0ImDhECfvUA_vlBFXEAsM-nY4M" TargetMode="External"/><Relationship Id="rId23" Type="http://schemas.openxmlformats.org/officeDocument/2006/relationships/hyperlink" Target="https://drive.google.com/open?id=1NpoPjYDrvLzjXRKo6R8uz6HLfgp1SsKx" TargetMode="External"/><Relationship Id="rId28" Type="http://schemas.openxmlformats.org/officeDocument/2006/relationships/hyperlink" Target="https://drive.google.com/open?id=1ujxJESguLglccH0ktyRWWbVIQVKhUshU" TargetMode="External"/><Relationship Id="rId36" Type="http://schemas.openxmlformats.org/officeDocument/2006/relationships/hyperlink" Target="https://drive.google.com/open?id=1Aa0wSTbVYRfN0zmJ2cau4uC0mR8bC1ov" TargetMode="External"/><Relationship Id="rId49" Type="http://schemas.openxmlformats.org/officeDocument/2006/relationships/hyperlink" Target="https://drive.google.com/open?id=17EpX-1GtNZoskh29fPCB9Tvrs-rnbo2D" TargetMode="External"/><Relationship Id="rId57" Type="http://schemas.openxmlformats.org/officeDocument/2006/relationships/hyperlink" Target="https://drive.google.com/open?id=1-Alf5l4mgUoJRnb9-wWrtHRmdXapJcXO" TargetMode="External"/><Relationship Id="rId106" Type="http://schemas.openxmlformats.org/officeDocument/2006/relationships/hyperlink" Target="https://drive.google.com/open?id=15PboRVdSfNFyRudL_k62GppoVmd37AHF" TargetMode="External"/><Relationship Id="rId114" Type="http://schemas.openxmlformats.org/officeDocument/2006/relationships/hyperlink" Target="https://drive.google.com/open?id=1hFQBqHpuBBCWyZV3yj-KfA14mmzVCTXD" TargetMode="External"/><Relationship Id="rId119" Type="http://schemas.openxmlformats.org/officeDocument/2006/relationships/hyperlink" Target="https://drive.google.com/open?id=1lhhR9ODsYJVG5DMgHNNY_ESxTaoaa6Xy" TargetMode="External"/><Relationship Id="rId127" Type="http://schemas.openxmlformats.org/officeDocument/2006/relationships/table" Target="../tables/table10.xml"/><Relationship Id="rId10" Type="http://schemas.openxmlformats.org/officeDocument/2006/relationships/hyperlink" Target="https://drive.google.com/open?id=1Uf_Q9CJa9kYtHmBmfpORgPrhzHAiOOvT" TargetMode="External"/><Relationship Id="rId31" Type="http://schemas.openxmlformats.org/officeDocument/2006/relationships/hyperlink" Target="https://drive.google.com/open?id=1POkUaRAcdYUlI_H62a0Lecv3WF5vfGWO" TargetMode="External"/><Relationship Id="rId44" Type="http://schemas.openxmlformats.org/officeDocument/2006/relationships/hyperlink" Target="https://drive.google.com/open?id=1NnvNA609TLkxJ83pTnA899wl0mc4Aala" TargetMode="External"/><Relationship Id="rId52" Type="http://schemas.openxmlformats.org/officeDocument/2006/relationships/hyperlink" Target="https://drive.google.com/open?id=1-TVBKFinSmo9W_auhTbw4wREF8AgvIbg" TargetMode="External"/><Relationship Id="rId60" Type="http://schemas.openxmlformats.org/officeDocument/2006/relationships/hyperlink" Target="https://drive.google.com/open?id=1rsl4SCDi4a3iXBELyxmPdcTaHqq0XJe5" TargetMode="External"/><Relationship Id="rId65" Type="http://schemas.openxmlformats.org/officeDocument/2006/relationships/hyperlink" Target="https://drive.google.com/open?id=1yTSp_qfbMXc4yAWVcOPNhSwZGqlgpiHd" TargetMode="External"/><Relationship Id="rId73" Type="http://schemas.openxmlformats.org/officeDocument/2006/relationships/hyperlink" Target="https://drive.google.com/open?id=1lKgxLmsGCAfv0DKWLh5ixR442gBg3NyO" TargetMode="External"/><Relationship Id="rId78" Type="http://schemas.openxmlformats.org/officeDocument/2006/relationships/hyperlink" Target="https://drive.google.com/open?id=1hjv544gSXpRO2vdbZ6EOw5tyiUqrKZ-F" TargetMode="External"/><Relationship Id="rId81" Type="http://schemas.openxmlformats.org/officeDocument/2006/relationships/hyperlink" Target="https://drive.google.com/open?id=1MY5nkCD2x5MqQazFOlWoVk3pGAxEQe_f" TargetMode="External"/><Relationship Id="rId86" Type="http://schemas.openxmlformats.org/officeDocument/2006/relationships/hyperlink" Target="https://drive.google.com/open?id=1R1yCIWiy1A7YymdOuqMJC7jMSRLCEsPD" TargetMode="External"/><Relationship Id="rId94" Type="http://schemas.openxmlformats.org/officeDocument/2006/relationships/hyperlink" Target="https://drive.google.com/open?id=1JL1AliobINqr68Cm6jG_hqapX4aIUxRf" TargetMode="External"/><Relationship Id="rId99" Type="http://schemas.openxmlformats.org/officeDocument/2006/relationships/hyperlink" Target="https://drive.google.com/open?id=12N4dEr-PxMHn-SR3SKxG1cic6zbVXnDi" TargetMode="External"/><Relationship Id="rId101" Type="http://schemas.openxmlformats.org/officeDocument/2006/relationships/hyperlink" Target="https://drive.google.com/open?id=1Q-Th_-BZbCtK3LDZoiuXF8BZGjNd4D6-" TargetMode="External"/><Relationship Id="rId122" Type="http://schemas.openxmlformats.org/officeDocument/2006/relationships/hyperlink" Target="https://drive.google.com/open?id=14kRE3Vpa70p_-kVEJSz6oDSZq0zCrKlB" TargetMode="External"/><Relationship Id="rId4" Type="http://schemas.openxmlformats.org/officeDocument/2006/relationships/hyperlink" Target="https://drive.google.com/open?id=1tffdmoxBF_rkmGKbRxdgt-qVhcc00VU1" TargetMode="External"/><Relationship Id="rId9" Type="http://schemas.openxmlformats.org/officeDocument/2006/relationships/hyperlink" Target="https://drive.google.com/open?id=14qxwi3_HVgXBK87ilpcEEqP1Wp3QfE9h" TargetMode="External"/><Relationship Id="rId13" Type="http://schemas.openxmlformats.org/officeDocument/2006/relationships/hyperlink" Target="https://drive.google.com/open?id=129kYJ1r4F-Q2RqQiz9jl05zDAnMP6jkj" TargetMode="External"/><Relationship Id="rId18" Type="http://schemas.openxmlformats.org/officeDocument/2006/relationships/hyperlink" Target="https://drive.google.com/open?id=1hKPG2FhVKkFjRBNYMBNvI9tUYotAkL6x" TargetMode="External"/><Relationship Id="rId39" Type="http://schemas.openxmlformats.org/officeDocument/2006/relationships/hyperlink" Target="https://drive.google.com/open?id=1anoiHCNE9o25OZiOPK7DiS8-FU_ZdKfR" TargetMode="External"/><Relationship Id="rId109" Type="http://schemas.openxmlformats.org/officeDocument/2006/relationships/hyperlink" Target="https://drive.google.com/open?id=1Riue2Ulj1j_iAtEfX_tlu4rw_uTY4sCK" TargetMode="External"/><Relationship Id="rId34" Type="http://schemas.openxmlformats.org/officeDocument/2006/relationships/hyperlink" Target="https://drive.google.com/open?id=1Omu2wKemEKGlv_cgmeO5E6AaDKmJmer-" TargetMode="External"/><Relationship Id="rId50" Type="http://schemas.openxmlformats.org/officeDocument/2006/relationships/hyperlink" Target="https://drive.google.com/open?id=1RUOxMwSohV1IOZGdhfWnmVoapZjocg7k" TargetMode="External"/><Relationship Id="rId55" Type="http://schemas.openxmlformats.org/officeDocument/2006/relationships/hyperlink" Target="https://drive.google.com/open?id=1dRgto784GvW82a0WqPZFcZBj_qTanNdr" TargetMode="External"/><Relationship Id="rId76" Type="http://schemas.openxmlformats.org/officeDocument/2006/relationships/hyperlink" Target="https://drive.google.com/open?id=1-l_3mqSY-kH_G5x0zppcNVrX0_CsMdiG" TargetMode="External"/><Relationship Id="rId97" Type="http://schemas.openxmlformats.org/officeDocument/2006/relationships/hyperlink" Target="https://drive.google.com/open?id=1YVETZp9Xy-qu1dVNTpsYA3Y-pTTCm5ua" TargetMode="External"/><Relationship Id="rId104" Type="http://schemas.openxmlformats.org/officeDocument/2006/relationships/hyperlink" Target="https://drive.google.com/open?id=1g4HdWUtHHo8MTaskdiId9F3neXaM4CkW" TargetMode="External"/><Relationship Id="rId120" Type="http://schemas.openxmlformats.org/officeDocument/2006/relationships/hyperlink" Target="https://drive.google.com/open?id=1VVa_1hEXHRVfc6D9qc8Kxox7prD12Xli" TargetMode="External"/><Relationship Id="rId125" Type="http://schemas.openxmlformats.org/officeDocument/2006/relationships/hyperlink" Target="https://drive.google.com/open?id=1xx2Y1i25rROVYjaONPUCEGtDTi1q5WrU" TargetMode="External"/><Relationship Id="rId7" Type="http://schemas.openxmlformats.org/officeDocument/2006/relationships/hyperlink" Target="https://drive.google.com/open?id=1dwOXz6Yc55cIV4yKz3S4jYNylJiVZkGw" TargetMode="External"/><Relationship Id="rId71" Type="http://schemas.openxmlformats.org/officeDocument/2006/relationships/hyperlink" Target="https://drive.google.com/open?id=1sBV3GUvsBKFUQ6XTjrJYRsSLqYHv-6RF" TargetMode="External"/><Relationship Id="rId92" Type="http://schemas.openxmlformats.org/officeDocument/2006/relationships/hyperlink" Target="https://drive.google.com/open?id=1P88QIxZAzwecdaXAxbWDf8tEL4Zda42T" TargetMode="External"/><Relationship Id="rId2" Type="http://schemas.openxmlformats.org/officeDocument/2006/relationships/hyperlink" Target="https://drive.google.com/open?id=1uwhJQNwW9cvr0xSKqL6FVQdouA6YMg3G" TargetMode="External"/><Relationship Id="rId29" Type="http://schemas.openxmlformats.org/officeDocument/2006/relationships/hyperlink" Target="https://drive.google.com/open?id=1-aDHF-3L-B7AbtzzbjqSR3MSutHO24ka" TargetMode="External"/><Relationship Id="rId24" Type="http://schemas.openxmlformats.org/officeDocument/2006/relationships/hyperlink" Target="https://drive.google.com/open?id=1eGA_OQmubU7ymPQitJJivKSZmWi2t-nu" TargetMode="External"/><Relationship Id="rId40" Type="http://schemas.openxmlformats.org/officeDocument/2006/relationships/hyperlink" Target="https://drive.google.com/open?id=1vxOgHlDzj5GI04dZuLAVeX8DjUI2IsSB" TargetMode="External"/><Relationship Id="rId45" Type="http://schemas.openxmlformats.org/officeDocument/2006/relationships/hyperlink" Target="https://drive.google.com/open?id=1nuvBElRYhIgsgGe0YDchgHXQBo8x6GUf" TargetMode="External"/><Relationship Id="rId66" Type="http://schemas.openxmlformats.org/officeDocument/2006/relationships/hyperlink" Target="https://drive.google.com/open?id=14J1feT_McbeVB892zc93SHTECIssEt0K" TargetMode="External"/><Relationship Id="rId87" Type="http://schemas.openxmlformats.org/officeDocument/2006/relationships/hyperlink" Target="https://drive.google.com/open?id=1S7KW3h9p7yd0tq77KZarhQCRcQ_9OM2R" TargetMode="External"/><Relationship Id="rId110" Type="http://schemas.openxmlformats.org/officeDocument/2006/relationships/hyperlink" Target="https://drive.google.com/open?id=1H8ygUB3QcajeNK_zYhNJ5dvRU0XyBpAO" TargetMode="External"/><Relationship Id="rId115" Type="http://schemas.openxmlformats.org/officeDocument/2006/relationships/hyperlink" Target="https://drive.google.com/open?id=14rMLANDocC03f3FTZsChzBst810YGxZ6" TargetMode="External"/><Relationship Id="rId61" Type="http://schemas.openxmlformats.org/officeDocument/2006/relationships/hyperlink" Target="https://drive.google.com/open?id=1J1ekWLYHKeU8acI7UvmbWFIzZ6yyHIdP" TargetMode="External"/><Relationship Id="rId82" Type="http://schemas.openxmlformats.org/officeDocument/2006/relationships/hyperlink" Target="https://drive.google.com/open?id=1F45gPBHCAACuTR58pK4ONiugtM4BAGm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zoomScale="70" zoomScaleNormal="70" workbookViewId="0">
      <selection activeCell="D14" sqref="D14"/>
    </sheetView>
  </sheetViews>
  <sheetFormatPr defaultColWidth="9" defaultRowHeight="15"/>
  <cols>
    <col min="1" max="1" width="7.85546875" style="5" customWidth="1"/>
    <col min="2" max="2" width="10.28515625" style="5" customWidth="1"/>
    <col min="3" max="4" width="34.85546875" style="5" customWidth="1"/>
    <col min="5" max="5" width="16.42578125" style="5" customWidth="1"/>
    <col min="6" max="6" width="13.5703125" style="5" customWidth="1"/>
    <col min="7" max="7" width="27.42578125" style="5" customWidth="1"/>
    <col min="8" max="8" width="17.28515625" style="5" customWidth="1"/>
    <col min="9" max="9" width="32.85546875" style="43" customWidth="1"/>
    <col min="10" max="10" width="52" style="5" customWidth="1"/>
    <col min="11" max="11" width="23.85546875" style="5" customWidth="1"/>
    <col min="12" max="12" width="31.28515625" style="5" customWidth="1"/>
    <col min="13" max="13" width="29.28515625" style="5" customWidth="1"/>
    <col min="14" max="17" width="12.85546875" style="5" customWidth="1"/>
    <col min="18" max="18" width="20.42578125" style="5" customWidth="1"/>
    <col min="19" max="16382" width="9.140625" style="5"/>
    <col min="16383" max="16384" width="9" style="5"/>
  </cols>
  <sheetData>
    <row r="1" spans="1:18" s="9" customFormat="1" ht="43.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s="9" customFormat="1" ht="24" customHeight="1">
      <c r="A2" s="64" t="s">
        <v>56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s="9" customFormat="1" ht="35.25" customHeight="1">
      <c r="A3" s="64" t="s">
        <v>28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12" customHeight="1"/>
    <row r="5" spans="1:18" ht="41.25" customHeight="1">
      <c r="A5" s="33" t="s">
        <v>1</v>
      </c>
      <c r="B5" s="27" t="s">
        <v>50</v>
      </c>
      <c r="C5" s="27" t="s">
        <v>51</v>
      </c>
      <c r="D5" s="34" t="s">
        <v>659</v>
      </c>
      <c r="E5" s="27" t="s">
        <v>52</v>
      </c>
      <c r="F5" s="27" t="s">
        <v>53</v>
      </c>
      <c r="G5" s="27" t="s">
        <v>54</v>
      </c>
      <c r="H5" s="27" t="s">
        <v>55</v>
      </c>
      <c r="I5" s="44" t="s">
        <v>2</v>
      </c>
      <c r="J5" s="35" t="s">
        <v>3</v>
      </c>
      <c r="K5" s="27" t="s">
        <v>4</v>
      </c>
      <c r="L5" s="27" t="s">
        <v>5</v>
      </c>
      <c r="M5" s="27" t="s">
        <v>6</v>
      </c>
      <c r="N5" s="27" t="s">
        <v>660</v>
      </c>
      <c r="O5" s="27" t="s">
        <v>671</v>
      </c>
      <c r="P5" s="27" t="s">
        <v>672</v>
      </c>
      <c r="Q5" s="27" t="s">
        <v>673</v>
      </c>
      <c r="R5" s="36" t="s">
        <v>7</v>
      </c>
    </row>
    <row r="6" spans="1:18" ht="48" customHeight="1">
      <c r="A6" s="30">
        <v>1</v>
      </c>
      <c r="B6" s="37">
        <v>341</v>
      </c>
      <c r="C6" s="39" t="s">
        <v>57</v>
      </c>
      <c r="D6" s="40" t="s">
        <v>668</v>
      </c>
      <c r="E6" s="37">
        <v>1977</v>
      </c>
      <c r="F6" s="37" t="s">
        <v>30</v>
      </c>
      <c r="G6" s="39" t="s">
        <v>58</v>
      </c>
      <c r="H6" s="39" t="s">
        <v>59</v>
      </c>
      <c r="I6" s="45">
        <v>1177043501</v>
      </c>
      <c r="J6" s="48" t="s">
        <v>315</v>
      </c>
      <c r="K6" s="52">
        <v>4.5</v>
      </c>
      <c r="L6" s="10"/>
      <c r="M6" s="11"/>
      <c r="N6" s="11"/>
      <c r="O6" s="11"/>
      <c r="P6" s="11"/>
      <c r="Q6" s="11"/>
      <c r="R6" s="32"/>
    </row>
    <row r="7" spans="1:18" s="6" customFormat="1" ht="29.25" customHeight="1">
      <c r="A7" s="30">
        <v>2</v>
      </c>
      <c r="B7" s="18">
        <v>342</v>
      </c>
      <c r="C7" s="19" t="s">
        <v>60</v>
      </c>
      <c r="D7" s="19" t="s">
        <v>664</v>
      </c>
      <c r="E7" s="18">
        <v>1976</v>
      </c>
      <c r="F7" s="19" t="s">
        <v>21</v>
      </c>
      <c r="G7" s="19" t="s">
        <v>26</v>
      </c>
      <c r="H7" s="22" t="s">
        <v>61</v>
      </c>
      <c r="I7" s="45" t="str">
        <f>Merge18!I3</f>
        <v>001176040670</v>
      </c>
      <c r="J7" s="48" t="str">
        <f>Merge18!J3</f>
        <v>Giáo viên trung học cơ sở hạng II - V.07.04.31</v>
      </c>
      <c r="K7" s="52">
        <v>4.5</v>
      </c>
      <c r="L7" s="10"/>
      <c r="M7" s="13"/>
      <c r="N7" s="12"/>
      <c r="O7" s="12"/>
      <c r="P7" s="12"/>
      <c r="Q7" s="12"/>
      <c r="R7" s="32"/>
    </row>
    <row r="8" spans="1:18" s="6" customFormat="1" ht="29.25" customHeight="1">
      <c r="A8" s="30">
        <v>3</v>
      </c>
      <c r="B8" s="18">
        <v>343</v>
      </c>
      <c r="C8" s="19" t="s">
        <v>685</v>
      </c>
      <c r="D8" s="19" t="s">
        <v>684</v>
      </c>
      <c r="E8" s="18">
        <v>1977</v>
      </c>
      <c r="F8" s="19" t="s">
        <v>21</v>
      </c>
      <c r="G8" s="19" t="s">
        <v>62</v>
      </c>
      <c r="H8" s="22" t="s">
        <v>61</v>
      </c>
      <c r="I8" s="45" t="str">
        <f>Merge18!I4</f>
        <v>025177005125</v>
      </c>
      <c r="J8" s="48" t="str">
        <f>Merge18!J4</f>
        <v>V07.04.11</v>
      </c>
      <c r="K8" s="52">
        <v>4.5</v>
      </c>
      <c r="L8" s="10"/>
      <c r="M8" s="11"/>
      <c r="N8" s="11"/>
      <c r="O8" s="11"/>
      <c r="P8" s="11"/>
      <c r="Q8" s="11"/>
      <c r="R8" s="32"/>
    </row>
    <row r="9" spans="1:18" s="6" customFormat="1" ht="29.25" customHeight="1">
      <c r="A9" s="30">
        <v>4</v>
      </c>
      <c r="B9" s="18">
        <v>344</v>
      </c>
      <c r="C9" s="19" t="s">
        <v>63</v>
      </c>
      <c r="D9" s="19" t="s">
        <v>670</v>
      </c>
      <c r="E9" s="18">
        <v>1975</v>
      </c>
      <c r="F9" s="19" t="s">
        <v>21</v>
      </c>
      <c r="G9" s="19" t="s">
        <v>64</v>
      </c>
      <c r="H9" s="22" t="s">
        <v>27</v>
      </c>
      <c r="I9" s="45" t="str">
        <f>Merge18!I5</f>
        <v>001075011375</v>
      </c>
      <c r="J9" s="48" t="str">
        <f>Merge18!J5</f>
        <v>Giáo viên trung học cơ sở hạng II - V.07.04.31</v>
      </c>
      <c r="K9" s="52">
        <v>4.5</v>
      </c>
      <c r="L9" s="10"/>
      <c r="M9" s="13"/>
      <c r="N9" s="12"/>
      <c r="O9" s="12"/>
      <c r="P9" s="12"/>
      <c r="Q9" s="12"/>
      <c r="R9" s="32"/>
    </row>
    <row r="10" spans="1:18" s="6" customFormat="1" ht="29.25" customHeight="1">
      <c r="A10" s="30">
        <v>5</v>
      </c>
      <c r="B10" s="18">
        <v>345</v>
      </c>
      <c r="C10" s="19" t="s">
        <v>65</v>
      </c>
      <c r="D10" s="19" t="s">
        <v>667</v>
      </c>
      <c r="E10" s="18">
        <v>1977</v>
      </c>
      <c r="F10" s="19" t="s">
        <v>21</v>
      </c>
      <c r="G10" s="19" t="s">
        <v>66</v>
      </c>
      <c r="H10" s="22" t="s">
        <v>27</v>
      </c>
      <c r="I10" s="45" t="str">
        <f>Merge18!I6</f>
        <v>001177009537</v>
      </c>
      <c r="J10" s="48" t="str">
        <f>Merge18!J6</f>
        <v>Giáo viên trung học cơ sở hạng III - V.07.04.32</v>
      </c>
      <c r="K10" s="52">
        <v>4</v>
      </c>
      <c r="L10" s="10"/>
      <c r="M10" s="11"/>
      <c r="N10" s="11"/>
      <c r="O10" s="11"/>
      <c r="P10" s="11"/>
      <c r="Q10" s="11"/>
      <c r="R10" s="32"/>
    </row>
    <row r="11" spans="1:18" s="6" customFormat="1" ht="34.5" customHeight="1">
      <c r="A11" s="30">
        <v>6</v>
      </c>
      <c r="B11" s="18">
        <v>4</v>
      </c>
      <c r="C11" s="19" t="s">
        <v>67</v>
      </c>
      <c r="D11" s="19" t="s">
        <v>669</v>
      </c>
      <c r="E11" s="18">
        <v>1983</v>
      </c>
      <c r="F11" s="19" t="s">
        <v>19</v>
      </c>
      <c r="G11" s="19" t="s">
        <v>68</v>
      </c>
      <c r="H11" s="22" t="s">
        <v>20</v>
      </c>
      <c r="I11" s="45" t="str">
        <f>Merge18!I7</f>
        <v>026183003026-E032337481</v>
      </c>
      <c r="J11" s="48" t="str">
        <f>Merge18!J7</f>
        <v>Giáo viên tiểu học hạng II – V.07.03.28</v>
      </c>
      <c r="K11" s="52">
        <v>4.5</v>
      </c>
      <c r="L11" s="10"/>
      <c r="M11" s="11"/>
      <c r="N11" s="11"/>
      <c r="O11" s="11"/>
      <c r="P11" s="11"/>
      <c r="Q11" s="11"/>
      <c r="R11" s="32"/>
    </row>
    <row r="12" spans="1:18" s="6" customFormat="1" ht="29.25" customHeight="1">
      <c r="A12" s="30">
        <v>7</v>
      </c>
      <c r="B12" s="18">
        <v>347</v>
      </c>
      <c r="C12" s="19" t="s">
        <v>69</v>
      </c>
      <c r="D12" s="19" t="s">
        <v>661</v>
      </c>
      <c r="E12" s="18">
        <v>1975</v>
      </c>
      <c r="F12" s="19" t="s">
        <v>21</v>
      </c>
      <c r="G12" s="19" t="s">
        <v>70</v>
      </c>
      <c r="H12" s="22" t="s">
        <v>71</v>
      </c>
      <c r="I12" s="45" t="str">
        <f>Merge18!I8</f>
        <v>001175030348</v>
      </c>
      <c r="J12" s="48" t="str">
        <f>Merge18!J8</f>
        <v>Giáo viên trung học cơ sở hạng II - V.07.04.31</v>
      </c>
      <c r="K12" s="52">
        <v>4.5</v>
      </c>
      <c r="L12" s="10"/>
      <c r="M12" s="13"/>
      <c r="N12" s="12"/>
      <c r="O12" s="12"/>
      <c r="P12" s="12"/>
      <c r="Q12" s="12"/>
      <c r="R12" s="32"/>
    </row>
    <row r="13" spans="1:18" s="6" customFormat="1" ht="29.25" customHeight="1">
      <c r="A13" s="30">
        <v>8</v>
      </c>
      <c r="B13" s="18">
        <v>348</v>
      </c>
      <c r="C13" s="19" t="s">
        <v>72</v>
      </c>
      <c r="D13" s="19" t="s">
        <v>662</v>
      </c>
      <c r="E13" s="18">
        <v>1977</v>
      </c>
      <c r="F13" s="19" t="s">
        <v>19</v>
      </c>
      <c r="G13" s="19" t="s">
        <v>73</v>
      </c>
      <c r="H13" s="22" t="s">
        <v>71</v>
      </c>
      <c r="I13" s="45" t="str">
        <f>Merge18!I9</f>
        <v>001177032960</v>
      </c>
      <c r="J13" s="48" t="str">
        <f>Merge18!J9</f>
        <v>Giáo viên tiểu học hạng II – V.07.03.28</v>
      </c>
      <c r="K13" s="52">
        <v>4.5</v>
      </c>
      <c r="L13" s="10"/>
      <c r="M13" s="11"/>
      <c r="N13" s="11"/>
      <c r="O13" s="11"/>
      <c r="P13" s="11"/>
      <c r="Q13" s="11"/>
      <c r="R13" s="32"/>
    </row>
    <row r="14" spans="1:18" s="6" customFormat="1" ht="29.25" customHeight="1">
      <c r="A14" s="30">
        <v>9</v>
      </c>
      <c r="B14" s="18">
        <v>349</v>
      </c>
      <c r="C14" s="19" t="s">
        <v>74</v>
      </c>
      <c r="D14" s="19" t="s">
        <v>665</v>
      </c>
      <c r="E14" s="18">
        <v>1975</v>
      </c>
      <c r="F14" s="19" t="s">
        <v>21</v>
      </c>
      <c r="G14" s="19" t="s">
        <v>75</v>
      </c>
      <c r="H14" s="22" t="s">
        <v>76</v>
      </c>
      <c r="I14" s="45" t="str">
        <f>Merge18!I10</f>
        <v>001175014156</v>
      </c>
      <c r="J14" s="48" t="str">
        <f>Merge18!J10</f>
        <v>Giáo viên trung học cơ sở hạng II - V.07.04.31</v>
      </c>
      <c r="K14" s="52">
        <v>4.5</v>
      </c>
      <c r="L14" s="10"/>
      <c r="M14" s="11"/>
      <c r="N14" s="11"/>
      <c r="O14" s="11"/>
      <c r="P14" s="11"/>
      <c r="Q14" s="11"/>
      <c r="R14" s="32"/>
    </row>
    <row r="15" spans="1:18" s="6" customFormat="1" ht="32.25" customHeight="1">
      <c r="A15" s="30">
        <v>10</v>
      </c>
      <c r="B15" s="18">
        <v>350</v>
      </c>
      <c r="C15" s="19" t="s">
        <v>77</v>
      </c>
      <c r="D15" s="19" t="s">
        <v>663</v>
      </c>
      <c r="E15" s="18">
        <v>1976</v>
      </c>
      <c r="F15" s="19" t="s">
        <v>21</v>
      </c>
      <c r="G15" s="19" t="s">
        <v>78</v>
      </c>
      <c r="H15" s="22" t="s">
        <v>76</v>
      </c>
      <c r="I15" s="45" t="str">
        <f>Merge18!I11</f>
        <v>001176048717</v>
      </c>
      <c r="J15" s="48" t="str">
        <f>Merge18!J11</f>
        <v>Giáo viên trung học cơ sở hạng III - V.07.04.32</v>
      </c>
      <c r="K15" s="52">
        <v>4.5</v>
      </c>
      <c r="L15" s="10"/>
      <c r="M15" s="12"/>
      <c r="N15" s="12"/>
      <c r="O15" s="12"/>
      <c r="P15" s="12"/>
      <c r="Q15" s="12"/>
      <c r="R15" s="32"/>
    </row>
    <row r="16" spans="1:18" s="6" customFormat="1" ht="37.5" customHeight="1">
      <c r="A16" s="30">
        <v>11</v>
      </c>
      <c r="B16" s="18">
        <v>351</v>
      </c>
      <c r="C16" s="19" t="s">
        <v>79</v>
      </c>
      <c r="D16" s="19" t="s">
        <v>678</v>
      </c>
      <c r="E16" s="18">
        <v>1975</v>
      </c>
      <c r="F16" s="19" t="s">
        <v>21</v>
      </c>
      <c r="G16" s="19" t="s">
        <v>80</v>
      </c>
      <c r="H16" s="22" t="s">
        <v>81</v>
      </c>
      <c r="I16" s="45"/>
      <c r="J16" s="48"/>
      <c r="K16" s="52">
        <v>4.5</v>
      </c>
      <c r="L16" s="10"/>
      <c r="M16" s="13"/>
      <c r="N16" s="12"/>
      <c r="O16" s="12"/>
      <c r="P16" s="12"/>
      <c r="Q16" s="12"/>
      <c r="R16" s="32"/>
    </row>
    <row r="17" spans="1:18" s="6" customFormat="1" ht="29.25" customHeight="1">
      <c r="A17" s="30">
        <v>12</v>
      </c>
      <c r="B17" s="18">
        <v>352</v>
      </c>
      <c r="C17" s="19" t="s">
        <v>82</v>
      </c>
      <c r="D17" s="19" t="s">
        <v>683</v>
      </c>
      <c r="E17" s="18">
        <v>1984</v>
      </c>
      <c r="F17" s="19" t="s">
        <v>21</v>
      </c>
      <c r="G17" s="19" t="s">
        <v>83</v>
      </c>
      <c r="H17" s="22" t="s">
        <v>81</v>
      </c>
      <c r="I17" s="45">
        <v>1184022018</v>
      </c>
      <c r="J17" s="48" t="s">
        <v>394</v>
      </c>
      <c r="K17" s="52">
        <v>4.5</v>
      </c>
      <c r="L17" s="10"/>
      <c r="M17" s="12"/>
      <c r="N17" s="12"/>
      <c r="O17" s="12"/>
      <c r="P17" s="12"/>
      <c r="Q17" s="12"/>
      <c r="R17" s="32"/>
    </row>
    <row r="18" spans="1:18" s="6" customFormat="1" ht="39" customHeight="1">
      <c r="A18" s="30">
        <v>13</v>
      </c>
      <c r="B18" s="18">
        <v>353</v>
      </c>
      <c r="C18" s="20" t="s">
        <v>84</v>
      </c>
      <c r="D18" s="19" t="s">
        <v>680</v>
      </c>
      <c r="E18" s="21">
        <v>1976</v>
      </c>
      <c r="F18" s="20" t="s">
        <v>21</v>
      </c>
      <c r="G18" s="20" t="s">
        <v>83</v>
      </c>
      <c r="H18" s="23" t="s">
        <v>81</v>
      </c>
      <c r="I18" s="45" t="str">
        <f>Merge18!I14</f>
        <v>001184022018</v>
      </c>
      <c r="J18" s="48" t="str">
        <f>Merge18!J14</f>
        <v>Giáo viên trung học cơ sở hạng III - V.07.04.32</v>
      </c>
      <c r="K18" s="52">
        <v>4.5</v>
      </c>
      <c r="L18" s="10"/>
      <c r="M18" s="11"/>
      <c r="N18" s="11"/>
      <c r="O18" s="11"/>
      <c r="P18" s="11"/>
      <c r="Q18" s="11"/>
      <c r="R18" s="32"/>
    </row>
    <row r="19" spans="1:18" s="6" customFormat="1" ht="29.25" customHeight="1">
      <c r="A19" s="30">
        <v>14</v>
      </c>
      <c r="B19" s="18">
        <v>354</v>
      </c>
      <c r="C19" s="19" t="s">
        <v>85</v>
      </c>
      <c r="D19" s="19" t="s">
        <v>675</v>
      </c>
      <c r="E19" s="18">
        <v>1974</v>
      </c>
      <c r="F19" s="19" t="s">
        <v>21</v>
      </c>
      <c r="G19" s="19" t="s">
        <v>86</v>
      </c>
      <c r="H19" s="22" t="s">
        <v>81</v>
      </c>
      <c r="I19" s="45">
        <v>1074022571</v>
      </c>
      <c r="J19" s="48" t="s">
        <v>315</v>
      </c>
      <c r="K19" s="52">
        <v>4.5</v>
      </c>
      <c r="L19" s="10"/>
      <c r="M19" s="12"/>
      <c r="N19" s="12"/>
      <c r="O19" s="12"/>
      <c r="P19" s="12"/>
      <c r="Q19" s="12"/>
      <c r="R19" s="32"/>
    </row>
    <row r="20" spans="1:18" s="6" customFormat="1" ht="29.25" customHeight="1">
      <c r="A20" s="30">
        <v>15</v>
      </c>
      <c r="B20" s="18">
        <v>355</v>
      </c>
      <c r="C20" s="19" t="s">
        <v>87</v>
      </c>
      <c r="D20" s="19" t="s">
        <v>676</v>
      </c>
      <c r="E20" s="18">
        <v>1984</v>
      </c>
      <c r="F20" s="19" t="s">
        <v>19</v>
      </c>
      <c r="G20" s="19" t="s">
        <v>88</v>
      </c>
      <c r="H20" s="22" t="s">
        <v>20</v>
      </c>
      <c r="I20" s="45">
        <v>1184030240</v>
      </c>
      <c r="J20" s="48" t="s">
        <v>654</v>
      </c>
      <c r="K20" s="52">
        <v>5</v>
      </c>
      <c r="L20" s="10"/>
      <c r="M20" s="11"/>
      <c r="N20" s="11"/>
      <c r="O20" s="11"/>
      <c r="P20" s="11"/>
      <c r="Q20" s="11"/>
      <c r="R20" s="32"/>
    </row>
    <row r="21" spans="1:18" s="6" customFormat="1" ht="29.25" customHeight="1">
      <c r="A21" s="30">
        <v>16</v>
      </c>
      <c r="B21" s="18">
        <v>356</v>
      </c>
      <c r="C21" s="19" t="s">
        <v>89</v>
      </c>
      <c r="D21" s="19" t="s">
        <v>682</v>
      </c>
      <c r="E21" s="18">
        <v>1980</v>
      </c>
      <c r="F21" s="19" t="s">
        <v>19</v>
      </c>
      <c r="G21" s="19" t="s">
        <v>90</v>
      </c>
      <c r="H21" s="22" t="s">
        <v>91</v>
      </c>
      <c r="I21" s="45">
        <v>1180014694</v>
      </c>
      <c r="J21" s="48" t="s">
        <v>654</v>
      </c>
      <c r="K21" s="52">
        <v>5</v>
      </c>
      <c r="L21" s="10"/>
      <c r="M21" s="12"/>
      <c r="N21" s="12"/>
      <c r="O21" s="12"/>
      <c r="P21" s="12"/>
      <c r="Q21" s="12"/>
      <c r="R21" s="32"/>
    </row>
    <row r="22" spans="1:18" s="6" customFormat="1" ht="29.25" customHeight="1">
      <c r="A22" s="30">
        <v>17</v>
      </c>
      <c r="B22" s="18">
        <v>357</v>
      </c>
      <c r="C22" s="19" t="s">
        <v>92</v>
      </c>
      <c r="D22" s="19" t="s">
        <v>681</v>
      </c>
      <c r="E22" s="18">
        <v>1980</v>
      </c>
      <c r="F22" s="19" t="s">
        <v>19</v>
      </c>
      <c r="G22" s="19" t="s">
        <v>93</v>
      </c>
      <c r="H22" s="22" t="s">
        <v>94</v>
      </c>
      <c r="I22" s="45">
        <v>1180005662</v>
      </c>
      <c r="J22" s="48" t="s">
        <v>654</v>
      </c>
      <c r="K22" s="52">
        <v>5</v>
      </c>
      <c r="L22" s="10"/>
      <c r="M22" s="12"/>
      <c r="N22" s="12"/>
      <c r="O22" s="12"/>
      <c r="P22" s="12"/>
      <c r="Q22" s="12"/>
      <c r="R22" s="32"/>
    </row>
    <row r="23" spans="1:18" s="6" customFormat="1" ht="36" customHeight="1">
      <c r="A23" s="30">
        <v>18</v>
      </c>
      <c r="B23" s="18">
        <v>358</v>
      </c>
      <c r="C23" s="19" t="s">
        <v>95</v>
      </c>
      <c r="D23" s="19" t="s">
        <v>677</v>
      </c>
      <c r="E23" s="18">
        <v>1977</v>
      </c>
      <c r="F23" s="19" t="s">
        <v>19</v>
      </c>
      <c r="G23" s="19" t="s">
        <v>96</v>
      </c>
      <c r="H23" s="22" t="s">
        <v>97</v>
      </c>
      <c r="I23" s="45" t="str">
        <f>Merge18!I19</f>
        <v>001180005662</v>
      </c>
      <c r="J23" s="48" t="str">
        <f>Merge18!J19</f>
        <v>Giáo viên tiểu học hạng III – V.07.03.29</v>
      </c>
      <c r="K23" s="52">
        <v>5</v>
      </c>
      <c r="L23" s="10"/>
      <c r="M23" s="12"/>
      <c r="N23" s="12"/>
      <c r="O23" s="12"/>
      <c r="P23" s="12"/>
      <c r="Q23" s="12"/>
      <c r="R23" s="32"/>
    </row>
    <row r="24" spans="1:18" s="6" customFormat="1" ht="29.25" customHeight="1">
      <c r="A24" s="30">
        <v>19</v>
      </c>
      <c r="B24" s="18">
        <v>359</v>
      </c>
      <c r="C24" s="19" t="s">
        <v>98</v>
      </c>
      <c r="D24" s="19" t="s">
        <v>679</v>
      </c>
      <c r="E24" s="18">
        <v>1977</v>
      </c>
      <c r="F24" s="19" t="s">
        <v>21</v>
      </c>
      <c r="G24" s="19" t="s">
        <v>99</v>
      </c>
      <c r="H24" s="22" t="s">
        <v>100</v>
      </c>
      <c r="I24" s="45">
        <v>27177000344</v>
      </c>
      <c r="J24" s="48" t="s">
        <v>315</v>
      </c>
      <c r="K24" s="52">
        <v>5</v>
      </c>
      <c r="L24" s="10"/>
      <c r="M24" s="13"/>
      <c r="N24" s="12"/>
      <c r="O24" s="12"/>
      <c r="P24" s="12"/>
      <c r="Q24" s="12"/>
      <c r="R24" s="32"/>
    </row>
    <row r="25" spans="1:18" s="6" customFormat="1" ht="29.25" customHeight="1">
      <c r="A25" s="30">
        <v>20</v>
      </c>
      <c r="B25" s="18">
        <v>360</v>
      </c>
      <c r="C25" s="19" t="s">
        <v>101</v>
      </c>
      <c r="D25" s="19" t="s">
        <v>674</v>
      </c>
      <c r="E25" s="18">
        <v>1976</v>
      </c>
      <c r="F25" s="19" t="s">
        <v>21</v>
      </c>
      <c r="G25" s="19" t="s">
        <v>99</v>
      </c>
      <c r="H25" s="22" t="s">
        <v>100</v>
      </c>
      <c r="I25" s="45">
        <v>1176045858</v>
      </c>
      <c r="J25" s="48" t="s">
        <v>315</v>
      </c>
      <c r="K25" s="18">
        <v>5</v>
      </c>
      <c r="L25" s="10"/>
      <c r="M25" s="11"/>
      <c r="N25" s="11"/>
      <c r="O25" s="11"/>
      <c r="P25" s="11"/>
      <c r="Q25" s="11"/>
      <c r="R25" s="32"/>
    </row>
    <row r="26" spans="1:18" s="6" customFormat="1" ht="29.25" customHeight="1">
      <c r="A26" s="29"/>
      <c r="B26" s="38"/>
      <c r="C26" s="38"/>
      <c r="D26" s="38"/>
      <c r="E26" s="38"/>
      <c r="F26" s="38"/>
      <c r="G26" s="38"/>
      <c r="H26" s="41"/>
      <c r="I26" s="46" t="s">
        <v>1143</v>
      </c>
      <c r="J26" s="42" t="s">
        <v>1143</v>
      </c>
      <c r="K26" s="38"/>
      <c r="L26" s="14"/>
      <c r="M26" s="14" t="s">
        <v>8</v>
      </c>
      <c r="N26" s="14" t="s">
        <v>9</v>
      </c>
      <c r="O26" s="14" t="s">
        <v>10</v>
      </c>
      <c r="P26" s="14" t="s">
        <v>11</v>
      </c>
      <c r="Q26" s="14" t="s">
        <v>12</v>
      </c>
      <c r="R26" s="31"/>
    </row>
    <row r="27" spans="1:18" s="7" customFormat="1" ht="23.25" customHeight="1">
      <c r="A27" s="1"/>
      <c r="B27" s="2"/>
      <c r="C27" s="1"/>
      <c r="D27" s="1"/>
      <c r="E27" s="2"/>
      <c r="F27" s="3" t="s">
        <v>13</v>
      </c>
      <c r="G27" s="2"/>
      <c r="H27" s="2"/>
      <c r="I27" s="1"/>
      <c r="J27" s="2"/>
      <c r="L27" s="4"/>
      <c r="M27" s="4"/>
      <c r="N27" s="4" t="s">
        <v>14</v>
      </c>
      <c r="O27" s="4"/>
      <c r="P27" s="4"/>
      <c r="Q27" s="2"/>
      <c r="R27" s="2"/>
    </row>
    <row r="28" spans="1:18" s="7" customFormat="1" ht="23.25" customHeight="1">
      <c r="A28" s="1" t="s">
        <v>49</v>
      </c>
      <c r="B28" s="2"/>
      <c r="C28" s="1"/>
      <c r="D28" s="1"/>
      <c r="E28" s="2"/>
      <c r="F28" s="3"/>
      <c r="G28" s="2"/>
      <c r="H28" s="2"/>
      <c r="I28" s="1"/>
      <c r="J28" s="2"/>
      <c r="K28" s="4"/>
      <c r="L28" s="4"/>
      <c r="M28" s="4"/>
      <c r="N28" s="4"/>
      <c r="O28" s="4"/>
      <c r="P28" s="4"/>
      <c r="Q28" s="2"/>
      <c r="R28" s="2"/>
    </row>
    <row r="29" spans="1:18" s="7" customFormat="1" ht="23.25" customHeight="1">
      <c r="A29" s="1" t="s">
        <v>15</v>
      </c>
      <c r="B29" s="2"/>
      <c r="C29" s="1"/>
      <c r="D29" s="1"/>
      <c r="E29" s="2"/>
      <c r="F29" s="2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</row>
    <row r="30" spans="1:18" s="7" customFormat="1" ht="23.25" customHeight="1">
      <c r="A30" s="1" t="s">
        <v>16</v>
      </c>
      <c r="B30" s="2"/>
      <c r="C30" s="1"/>
      <c r="D30" s="1"/>
      <c r="E30" s="2"/>
      <c r="F30" s="2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</row>
    <row r="31" spans="1:18" s="7" customFormat="1" ht="23.25" customHeight="1">
      <c r="A31" s="1" t="s">
        <v>17</v>
      </c>
      <c r="B31" s="2"/>
      <c r="C31" s="1"/>
      <c r="D31" s="1"/>
      <c r="E31" s="2"/>
      <c r="F31" s="2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</row>
    <row r="32" spans="1:18" s="8" customFormat="1" ht="24.75" customHeight="1">
      <c r="A32" s="1" t="s">
        <v>18</v>
      </c>
      <c r="E32" s="2"/>
      <c r="I32" s="47"/>
    </row>
    <row r="33" ht="27.75" customHeight="1"/>
  </sheetData>
  <mergeCells count="3">
    <mergeCell ref="A1:R1"/>
    <mergeCell ref="A2:R2"/>
    <mergeCell ref="A3:R3"/>
  </mergeCells>
  <conditionalFormatting sqref="C12">
    <cfRule type="duplicateValues" dxfId="39" priority="7"/>
  </conditionalFormatting>
  <conditionalFormatting sqref="C7:D7 C13:C26 C8:C11">
    <cfRule type="duplicateValues" dxfId="38" priority="4"/>
    <cfRule type="duplicateValues" dxfId="37" priority="5"/>
    <cfRule type="duplicateValues" dxfId="36" priority="6"/>
  </conditionalFormatting>
  <conditionalFormatting sqref="D8:D26">
    <cfRule type="duplicateValues" dxfId="35" priority="1"/>
    <cfRule type="duplicateValues" dxfId="34" priority="2"/>
    <cfRule type="duplicateValues" dxfId="33" priority="3"/>
  </conditionalFormatting>
  <pageMargins left="0.118110236220472" right="0.118110236220472" top="0.21" bottom="0.15748031496063" header="0.2" footer="0.17"/>
  <pageSetup paperSize="9" scale="6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33"/>
  <sheetViews>
    <sheetView topLeftCell="A5" zoomScale="71" zoomScaleNormal="55" workbookViewId="0">
      <selection activeCell="A8" sqref="A8:J27"/>
    </sheetView>
  </sheetViews>
  <sheetFormatPr defaultColWidth="9" defaultRowHeight="15"/>
  <cols>
    <col min="1" max="1" width="14.85546875" style="5" customWidth="1"/>
    <col min="2" max="2" width="15.28515625" style="5" customWidth="1"/>
    <col min="3" max="4" width="34.85546875" style="5" customWidth="1"/>
    <col min="5" max="5" width="16.42578125" style="5" customWidth="1"/>
    <col min="6" max="6" width="15.28515625" style="5" customWidth="1"/>
    <col min="7" max="7" width="27.42578125" style="5" customWidth="1"/>
    <col min="8" max="8" width="15.7109375" style="5" customWidth="1"/>
    <col min="9" max="9" width="18.5703125" style="5" customWidth="1"/>
    <col min="10" max="10" width="56.28515625" style="5" bestFit="1" customWidth="1"/>
    <col min="11" max="11" width="16.42578125" style="5" customWidth="1"/>
    <col min="12" max="12" width="15.85546875" style="5" customWidth="1"/>
    <col min="13" max="17" width="16.42578125" style="5" customWidth="1"/>
    <col min="18" max="18" width="20.42578125" style="5" customWidth="1"/>
    <col min="19" max="16384" width="9" style="5"/>
  </cols>
  <sheetData>
    <row r="1" spans="1:21" s="9" customFormat="1" ht="43.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21" s="9" customFormat="1" ht="24" customHeight="1">
      <c r="A2" s="64" t="s">
        <v>290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21" s="9" customFormat="1" ht="35.25" customHeight="1">
      <c r="A3" s="64" t="s">
        <v>28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21" ht="12" customHeight="1"/>
    <row r="5" spans="1:21" ht="41.25" customHeight="1">
      <c r="A5" s="65" t="s">
        <v>1</v>
      </c>
      <c r="B5" s="65" t="s">
        <v>50</v>
      </c>
      <c r="C5" s="65" t="s">
        <v>51</v>
      </c>
      <c r="D5" s="65" t="s">
        <v>659</v>
      </c>
      <c r="E5" s="65" t="s">
        <v>52</v>
      </c>
      <c r="F5" s="65" t="s">
        <v>53</v>
      </c>
      <c r="G5" s="65" t="s">
        <v>54</v>
      </c>
      <c r="H5" s="65" t="s">
        <v>55</v>
      </c>
      <c r="I5" s="71" t="s">
        <v>2</v>
      </c>
      <c r="J5" s="71" t="s">
        <v>3</v>
      </c>
      <c r="K5" s="65" t="s">
        <v>4</v>
      </c>
      <c r="L5" s="65" t="s">
        <v>5</v>
      </c>
      <c r="M5" s="67" t="s">
        <v>6</v>
      </c>
      <c r="N5" s="68"/>
      <c r="O5" s="68"/>
      <c r="P5" s="68"/>
      <c r="Q5" s="69"/>
      <c r="R5" s="65" t="s">
        <v>7</v>
      </c>
    </row>
    <row r="6" spans="1:21" ht="48" customHeight="1">
      <c r="A6" s="70"/>
      <c r="B6" s="66"/>
      <c r="C6" s="66"/>
      <c r="D6" s="66"/>
      <c r="E6" s="66"/>
      <c r="F6" s="66"/>
      <c r="G6" s="66"/>
      <c r="H6" s="66"/>
      <c r="I6" s="72"/>
      <c r="J6" s="72"/>
      <c r="K6" s="66"/>
      <c r="L6" s="70"/>
      <c r="M6" s="14" t="s">
        <v>8</v>
      </c>
      <c r="N6" s="14" t="s">
        <v>9</v>
      </c>
      <c r="O6" s="14" t="s">
        <v>10</v>
      </c>
      <c r="P6" s="14" t="s">
        <v>11</v>
      </c>
      <c r="Q6" s="14" t="s">
        <v>12</v>
      </c>
      <c r="R6" s="70"/>
    </row>
    <row r="7" spans="1:21" s="6" customFormat="1" ht="29.25" customHeight="1">
      <c r="A7" s="30" t="s">
        <v>660</v>
      </c>
      <c r="B7" s="18" t="s">
        <v>671</v>
      </c>
      <c r="C7" s="19" t="s">
        <v>672</v>
      </c>
      <c r="D7" s="19" t="s">
        <v>1144</v>
      </c>
      <c r="E7" s="18" t="s">
        <v>673</v>
      </c>
      <c r="F7" s="19" t="s">
        <v>686</v>
      </c>
      <c r="G7" s="19" t="s">
        <v>687</v>
      </c>
      <c r="H7" s="19" t="s">
        <v>688</v>
      </c>
      <c r="I7" s="17" t="s">
        <v>689</v>
      </c>
      <c r="J7" s="16" t="s">
        <v>690</v>
      </c>
      <c r="K7" s="25" t="s">
        <v>691</v>
      </c>
      <c r="L7" s="10" t="s">
        <v>692</v>
      </c>
      <c r="M7" s="11" t="s">
        <v>693</v>
      </c>
      <c r="N7" s="11" t="s">
        <v>694</v>
      </c>
      <c r="O7" s="11" t="s">
        <v>695</v>
      </c>
      <c r="P7" s="11" t="s">
        <v>696</v>
      </c>
      <c r="Q7" s="11" t="s">
        <v>697</v>
      </c>
      <c r="R7" s="49" t="s">
        <v>698</v>
      </c>
    </row>
    <row r="8" spans="1:21" s="6" customFormat="1" ht="29.25" customHeight="1">
      <c r="A8" s="30">
        <v>1</v>
      </c>
      <c r="B8" s="18">
        <v>361</v>
      </c>
      <c r="C8" s="19" t="s">
        <v>102</v>
      </c>
      <c r="D8" s="19" t="s">
        <v>1094</v>
      </c>
      <c r="E8" s="18">
        <v>1976</v>
      </c>
      <c r="F8" s="19" t="s">
        <v>21</v>
      </c>
      <c r="G8" s="19" t="s">
        <v>44</v>
      </c>
      <c r="H8" s="19" t="s">
        <v>100</v>
      </c>
      <c r="I8" s="17" t="str">
        <f>IF(ISBLANK(Merge19!T2), IF(ISBLANK(Merge19!U2), "", Merge19!U2),Merge19!T2&amp; IF(ISBLANK(Merge19!U2), "", "-"&amp;Merge19!U2))</f>
        <v>001176046134</v>
      </c>
      <c r="J8" s="16" t="str">
        <f>IF(ISBLANK(Merge19!S2),"",Merge19!S2)</f>
        <v>Giáo viên trung học cơ sở hạng II - V.07.04.31</v>
      </c>
      <c r="K8" s="52">
        <v>5</v>
      </c>
      <c r="L8" s="10"/>
      <c r="M8" s="11"/>
      <c r="N8" s="11"/>
      <c r="O8" s="11"/>
      <c r="P8" s="11"/>
      <c r="Q8" s="11"/>
      <c r="R8" s="49"/>
    </row>
    <row r="9" spans="1:21" s="6" customFormat="1" ht="29.25" customHeight="1">
      <c r="A9" s="30">
        <v>2</v>
      </c>
      <c r="B9" s="18">
        <v>362</v>
      </c>
      <c r="C9" s="19" t="s">
        <v>103</v>
      </c>
      <c r="D9" s="19" t="s">
        <v>1145</v>
      </c>
      <c r="E9" s="18">
        <v>1975</v>
      </c>
      <c r="F9" s="19" t="s">
        <v>21</v>
      </c>
      <c r="G9" s="19" t="s">
        <v>104</v>
      </c>
      <c r="H9" s="19" t="s">
        <v>20</v>
      </c>
      <c r="I9" s="17" t="str">
        <f>IF(ISBLANK(Merge19!T3), IF(ISBLANK(Merge19!U3), "", Merge19!U3),Merge19!T3&amp; IF(ISBLANK(Merge19!U3), "", "-"&amp;Merge19!U3))</f>
        <v>001178029456</v>
      </c>
      <c r="J9" s="16" t="str">
        <f>IF(ISBLANK(Merge19!S3),"",Merge19!S3)</f>
        <v>Giáo viên trung học phổ thông hạng III - V.07.05.15</v>
      </c>
      <c r="K9" s="52">
        <v>5</v>
      </c>
      <c r="L9" s="10"/>
      <c r="M9" s="11"/>
      <c r="N9" s="11"/>
      <c r="O9" s="11"/>
      <c r="P9" s="11"/>
      <c r="Q9" s="11"/>
      <c r="R9" s="49"/>
      <c r="U9" s="25"/>
    </row>
    <row r="10" spans="1:21" s="6" customFormat="1" ht="29.25" customHeight="1">
      <c r="A10" s="30">
        <v>3</v>
      </c>
      <c r="B10" s="18">
        <v>363</v>
      </c>
      <c r="C10" s="19" t="s">
        <v>105</v>
      </c>
      <c r="D10" s="19" t="s">
        <v>1146</v>
      </c>
      <c r="E10" s="18">
        <v>1975</v>
      </c>
      <c r="F10" s="19" t="s">
        <v>21</v>
      </c>
      <c r="G10" s="19" t="s">
        <v>48</v>
      </c>
      <c r="H10" s="19" t="s">
        <v>100</v>
      </c>
      <c r="I10" s="17" t="str">
        <f>IF(ISBLANK(Merge19!T4), IF(ISBLANK(Merge19!U4), "", Merge19!U4),Merge19!T4&amp; IF(ISBLANK(Merge19!U4), "", "-"&amp;Merge19!U4))</f>
        <v>035185004411</v>
      </c>
      <c r="J10" s="16" t="str">
        <f>IF(ISBLANK(Merge19!S4),"",Merge19!S4)</f>
        <v>Giáo viên trung học phổ thông hạng II - V.07.05.14</v>
      </c>
      <c r="K10" s="52">
        <v>5</v>
      </c>
      <c r="L10" s="10"/>
      <c r="M10" s="12"/>
      <c r="N10" s="12"/>
      <c r="O10" s="12"/>
      <c r="P10" s="12"/>
      <c r="Q10" s="12"/>
      <c r="R10" s="50"/>
    </row>
    <row r="11" spans="1:21" s="6" customFormat="1" ht="34.5" customHeight="1">
      <c r="A11" s="30">
        <v>4</v>
      </c>
      <c r="B11" s="18">
        <v>364</v>
      </c>
      <c r="C11" s="19" t="s">
        <v>106</v>
      </c>
      <c r="D11" s="19" t="s">
        <v>1084</v>
      </c>
      <c r="E11" s="18">
        <v>1984</v>
      </c>
      <c r="F11" s="19" t="s">
        <v>30</v>
      </c>
      <c r="G11" s="19" t="s">
        <v>107</v>
      </c>
      <c r="H11" s="19" t="s">
        <v>100</v>
      </c>
      <c r="I11" s="17" t="str">
        <f>IF(ISBLANK(Merge19!T5), IF(ISBLANK(Merge19!U5), "", Merge19!U5),Merge19!T5&amp; IF(ISBLANK(Merge19!U5), "", "-"&amp;Merge19!U5))</f>
        <v>034178005875</v>
      </c>
      <c r="J11" s="16" t="str">
        <f>IF(ISBLANK(Merge19!S5),"",Merge19!S5)</f>
        <v>Giáo viên tiểu học hạng II – V.07.03.28</v>
      </c>
      <c r="K11" s="52">
        <v>5</v>
      </c>
      <c r="L11" s="10"/>
      <c r="M11" s="11"/>
      <c r="N11" s="11"/>
      <c r="O11" s="11"/>
      <c r="P11" s="11"/>
      <c r="Q11" s="11"/>
      <c r="R11" s="49"/>
    </row>
    <row r="12" spans="1:21" s="6" customFormat="1" ht="29.25" customHeight="1">
      <c r="A12" s="30">
        <v>5</v>
      </c>
      <c r="B12" s="18">
        <v>365</v>
      </c>
      <c r="C12" s="19" t="s">
        <v>108</v>
      </c>
      <c r="D12" s="19" t="s">
        <v>1074</v>
      </c>
      <c r="E12" s="18">
        <v>1976</v>
      </c>
      <c r="F12" s="19" t="s">
        <v>30</v>
      </c>
      <c r="G12" s="19" t="s">
        <v>107</v>
      </c>
      <c r="H12" s="19" t="s">
        <v>100</v>
      </c>
      <c r="I12" s="17" t="str">
        <f>IF(ISBLANK(Merge19!T6), IF(ISBLANK(Merge19!U6), "", Merge19!U6),Merge19!T6&amp; IF(ISBLANK(Merge19!U6), "", "-"&amp;Merge19!U6))</f>
        <v>001181004093</v>
      </c>
      <c r="J12" s="16" t="str">
        <f>IF(ISBLANK(Merge19!S6),"",Merge19!S6)</f>
        <v>Giáo viên tiểu học hạng II – V.07.03.28</v>
      </c>
      <c r="K12" s="52">
        <v>5</v>
      </c>
      <c r="L12" s="10"/>
      <c r="M12" s="13"/>
      <c r="N12" s="12"/>
      <c r="O12" s="12"/>
      <c r="P12" s="12"/>
      <c r="Q12" s="12"/>
      <c r="R12" s="49"/>
    </row>
    <row r="13" spans="1:21" s="6" customFormat="1" ht="29.25" customHeight="1">
      <c r="A13" s="30">
        <v>6</v>
      </c>
      <c r="B13" s="18">
        <v>366</v>
      </c>
      <c r="C13" s="19" t="s">
        <v>109</v>
      </c>
      <c r="D13" s="19" t="s">
        <v>1066</v>
      </c>
      <c r="E13" s="18">
        <v>1978</v>
      </c>
      <c r="F13" s="19" t="s">
        <v>30</v>
      </c>
      <c r="G13" s="19" t="s">
        <v>110</v>
      </c>
      <c r="H13" s="19" t="s">
        <v>100</v>
      </c>
      <c r="I13" s="17" t="str">
        <f>IF(ISBLANK(Merge19!T7), IF(ISBLANK(Merge19!U7), "", Merge19!U7),Merge19!T7&amp; IF(ISBLANK(Merge19!U7), "", "-"&amp;Merge19!U7))</f>
        <v>001178029862</v>
      </c>
      <c r="J13" s="16" t="str">
        <f>IF(ISBLANK(Merge19!S7),"",Merge19!S7)</f>
        <v>Giáo viên trung học cơ sở hạng II - V.07.04.31</v>
      </c>
      <c r="K13" s="52">
        <v>5</v>
      </c>
      <c r="L13" s="10"/>
      <c r="M13" s="11"/>
      <c r="N13" s="11"/>
      <c r="O13" s="11"/>
      <c r="P13" s="11"/>
      <c r="Q13" s="11"/>
      <c r="R13" s="49"/>
    </row>
    <row r="14" spans="1:21" s="6" customFormat="1" ht="29.25" customHeight="1">
      <c r="A14" s="30">
        <v>7</v>
      </c>
      <c r="B14" s="18">
        <v>367</v>
      </c>
      <c r="C14" s="19" t="s">
        <v>111</v>
      </c>
      <c r="D14" s="19" t="s">
        <v>1100</v>
      </c>
      <c r="E14" s="18">
        <v>1977</v>
      </c>
      <c r="F14" s="19" t="s">
        <v>30</v>
      </c>
      <c r="G14" s="19" t="s">
        <v>110</v>
      </c>
      <c r="H14" s="19" t="s">
        <v>100</v>
      </c>
      <c r="I14" s="15" t="str">
        <f>IF(ISBLANK(Merge19!T9), IF(ISBLANK(Merge19!U9), "", Merge19!U9),Merge19!T9&amp; IF(ISBLANK(Merge19!U9), "", "-"&amp;Merge19!U9))</f>
        <v>001077040753</v>
      </c>
      <c r="J14" s="16" t="s">
        <v>327</v>
      </c>
      <c r="K14" s="52">
        <v>5</v>
      </c>
      <c r="L14" s="10"/>
      <c r="M14" s="12"/>
      <c r="N14" s="12"/>
      <c r="O14" s="12"/>
      <c r="P14" s="12"/>
      <c r="Q14" s="12"/>
      <c r="R14" s="49"/>
    </row>
    <row r="15" spans="1:21" s="6" customFormat="1" ht="32.25" customHeight="1">
      <c r="A15" s="30">
        <v>8</v>
      </c>
      <c r="B15" s="18">
        <v>368</v>
      </c>
      <c r="C15" s="19" t="s">
        <v>112</v>
      </c>
      <c r="D15" s="19" t="s">
        <v>1092</v>
      </c>
      <c r="E15" s="18">
        <v>1985</v>
      </c>
      <c r="F15" s="19" t="s">
        <v>30</v>
      </c>
      <c r="G15" s="19" t="s">
        <v>113</v>
      </c>
      <c r="H15" s="19" t="s">
        <v>114</v>
      </c>
      <c r="I15" s="15">
        <v>35185004411</v>
      </c>
      <c r="J15" s="16" t="s">
        <v>358</v>
      </c>
      <c r="K15" s="52">
        <v>5</v>
      </c>
      <c r="L15" s="10"/>
      <c r="M15" s="12"/>
      <c r="N15" s="12"/>
      <c r="O15" s="12"/>
      <c r="P15" s="12"/>
      <c r="Q15" s="12"/>
      <c r="R15" s="32"/>
    </row>
    <row r="16" spans="1:21" s="6" customFormat="1" ht="37.5" customHeight="1">
      <c r="A16" s="30">
        <v>9</v>
      </c>
      <c r="B16" s="18">
        <v>369</v>
      </c>
      <c r="C16" s="19" t="s">
        <v>115</v>
      </c>
      <c r="D16" s="19" t="s">
        <v>1077</v>
      </c>
      <c r="E16" s="18">
        <v>1987</v>
      </c>
      <c r="F16" s="19" t="s">
        <v>19</v>
      </c>
      <c r="G16" s="19" t="s">
        <v>116</v>
      </c>
      <c r="H16" s="19" t="s">
        <v>61</v>
      </c>
      <c r="I16" s="17" t="str">
        <f>IF(ISBLANK(Merge19!T10), IF(ISBLANK(Merge19!U10), "", Merge19!U10),Merge19!T10&amp; IF(ISBLANK(Merge19!U10), "", "-"&amp;Merge19!U10))</f>
        <v>001085037860</v>
      </c>
      <c r="J16" s="16" t="str">
        <f>IF(ISBLANK(Merge19!S10),"",Merge19!S10)</f>
        <v>Giáo viên tiểu học hạng IV - V.07.03.09</v>
      </c>
      <c r="K16" s="52">
        <v>5</v>
      </c>
      <c r="L16" s="10"/>
      <c r="M16" s="13"/>
      <c r="N16" s="12"/>
      <c r="O16" s="12"/>
      <c r="P16" s="12"/>
      <c r="Q16" s="12"/>
      <c r="R16" s="32"/>
    </row>
    <row r="17" spans="1:18" s="6" customFormat="1" ht="29.25" customHeight="1">
      <c r="A17" s="30">
        <v>10</v>
      </c>
      <c r="B17" s="18">
        <v>370</v>
      </c>
      <c r="C17" s="19" t="s">
        <v>117</v>
      </c>
      <c r="D17" s="19" t="s">
        <v>1147</v>
      </c>
      <c r="E17" s="18">
        <v>1983</v>
      </c>
      <c r="F17" s="19" t="s">
        <v>19</v>
      </c>
      <c r="G17" s="19" t="s">
        <v>118</v>
      </c>
      <c r="H17" s="19" t="s">
        <v>71</v>
      </c>
      <c r="I17" s="17" t="str">
        <f>IF(ISBLANK(Merge19!T11), IF(ISBLANK(Merge19!U11), "", Merge19!U11),Merge19!T11&amp; IF(ISBLANK(Merge19!U11), "", "-"&amp;Merge19!U11))</f>
        <v>024182000152</v>
      </c>
      <c r="J17" s="16" t="str">
        <f>IF(ISBLANK(Merge19!S11),"",Merge19!S11)</f>
        <v>Giáo viên trung học phổ thông hạng III - V.07.05.15</v>
      </c>
      <c r="K17" s="52">
        <v>5</v>
      </c>
      <c r="L17" s="10"/>
      <c r="M17" s="13"/>
      <c r="N17" s="12"/>
      <c r="O17" s="12"/>
      <c r="P17" s="12"/>
      <c r="Q17" s="12"/>
      <c r="R17" s="32"/>
    </row>
    <row r="18" spans="1:18" s="6" customFormat="1" ht="39" customHeight="1">
      <c r="A18" s="30">
        <v>11</v>
      </c>
      <c r="B18" s="18">
        <v>371</v>
      </c>
      <c r="C18" s="19" t="s">
        <v>119</v>
      </c>
      <c r="D18" s="19" t="s">
        <v>1148</v>
      </c>
      <c r="E18" s="18">
        <v>1984</v>
      </c>
      <c r="F18" s="19" t="s">
        <v>19</v>
      </c>
      <c r="G18" s="19" t="s">
        <v>120</v>
      </c>
      <c r="H18" s="19" t="s">
        <v>121</v>
      </c>
      <c r="I18" s="17" t="str">
        <f>IF(ISBLANK(Merge19!T12), IF(ISBLANK(Merge19!U12), "", Merge19!U12),Merge19!T12&amp; IF(ISBLANK(Merge19!U12), "", "-"&amp;Merge19!U12))</f>
        <v>001176046317</v>
      </c>
      <c r="J18" s="16" t="str">
        <f>IF(ISBLANK(Merge19!S12),"",Merge19!S12)</f>
        <v>Giáo viên trung học phổ thông hạng III - V.07.05.15</v>
      </c>
      <c r="K18" s="52">
        <v>5</v>
      </c>
      <c r="L18" s="10"/>
      <c r="M18" s="11"/>
      <c r="N18" s="11"/>
      <c r="O18" s="11"/>
      <c r="P18" s="11"/>
      <c r="Q18" s="11"/>
      <c r="R18" s="32"/>
    </row>
    <row r="19" spans="1:18" s="6" customFormat="1" ht="29.25" customHeight="1">
      <c r="A19" s="30">
        <v>12</v>
      </c>
      <c r="B19" s="18">
        <v>372</v>
      </c>
      <c r="C19" s="19" t="s">
        <v>122</v>
      </c>
      <c r="D19" s="19" t="s">
        <v>1098</v>
      </c>
      <c r="E19" s="18">
        <v>1978</v>
      </c>
      <c r="F19" s="19" t="s">
        <v>19</v>
      </c>
      <c r="G19" s="19" t="s">
        <v>123</v>
      </c>
      <c r="H19" s="19" t="s">
        <v>71</v>
      </c>
      <c r="I19" s="17" t="str">
        <f>IF(ISBLANK(Merge19!T13), IF(ISBLANK(Merge19!U13), "", Merge19!U13),Merge19!T13&amp; IF(ISBLANK(Merge19!U13), "", "-"&amp;Merge19!U13))</f>
        <v>001187032876</v>
      </c>
      <c r="J19" s="16" t="str">
        <f>IF(ISBLANK(Merge19!S13),"",Merge19!S13)</f>
        <v>Giáo viên tiểu học hạng III – V.07.03.29</v>
      </c>
      <c r="K19" s="52">
        <v>5</v>
      </c>
      <c r="L19" s="10"/>
      <c r="M19" s="13"/>
      <c r="N19" s="12"/>
      <c r="O19" s="12"/>
      <c r="P19" s="12"/>
      <c r="Q19" s="12"/>
      <c r="R19" s="32"/>
    </row>
    <row r="20" spans="1:18" s="6" customFormat="1" ht="29.25" customHeight="1">
      <c r="A20" s="30">
        <v>13</v>
      </c>
      <c r="B20" s="18">
        <v>373</v>
      </c>
      <c r="C20" s="19" t="s">
        <v>124</v>
      </c>
      <c r="D20" s="19" t="s">
        <v>1059</v>
      </c>
      <c r="E20" s="18">
        <v>1985</v>
      </c>
      <c r="F20" s="19" t="s">
        <v>19</v>
      </c>
      <c r="G20" s="19" t="s">
        <v>125</v>
      </c>
      <c r="H20" s="19" t="s">
        <v>61</v>
      </c>
      <c r="I20" s="17" t="str">
        <f>IF(ISBLANK(Merge19!T14), IF(ISBLANK(Merge19!U14), "", Merge19!U14),Merge19!T14&amp; IF(ISBLANK(Merge19!U14), "", "-"&amp;Merge19!U14))</f>
        <v>001184017736</v>
      </c>
      <c r="J20" s="16" t="str">
        <f>IF(ISBLANK(Merge19!S14),"",Merge19!S14)</f>
        <v>Giáo viên trung học phổ thông hạng III - V.07.05.15</v>
      </c>
      <c r="K20" s="52">
        <v>5</v>
      </c>
      <c r="L20" s="10"/>
      <c r="M20" s="11"/>
      <c r="N20" s="11"/>
      <c r="O20" s="11"/>
      <c r="P20" s="11"/>
      <c r="Q20" s="11"/>
      <c r="R20" s="32"/>
    </row>
    <row r="21" spans="1:18" s="6" customFormat="1" ht="29.25" customHeight="1">
      <c r="A21" s="30">
        <v>14</v>
      </c>
      <c r="B21" s="18">
        <v>374</v>
      </c>
      <c r="C21" s="19" t="s">
        <v>126</v>
      </c>
      <c r="D21" s="19" t="s">
        <v>1096</v>
      </c>
      <c r="E21" s="18">
        <v>1981</v>
      </c>
      <c r="F21" s="19" t="s">
        <v>19</v>
      </c>
      <c r="G21" s="19" t="s">
        <v>127</v>
      </c>
      <c r="H21" s="19" t="s">
        <v>121</v>
      </c>
      <c r="I21" s="51" t="s">
        <v>1189</v>
      </c>
      <c r="J21" s="16" t="s">
        <v>377</v>
      </c>
      <c r="K21" s="52">
        <v>5</v>
      </c>
      <c r="L21" s="10"/>
      <c r="M21" s="11"/>
      <c r="N21" s="11"/>
      <c r="O21" s="11"/>
      <c r="P21" s="11"/>
      <c r="Q21" s="11"/>
      <c r="R21" s="32"/>
    </row>
    <row r="22" spans="1:18" s="6" customFormat="1" ht="29.25" customHeight="1">
      <c r="A22" s="30">
        <v>15</v>
      </c>
      <c r="B22" s="18">
        <v>375</v>
      </c>
      <c r="C22" s="19" t="s">
        <v>128</v>
      </c>
      <c r="D22" s="19" t="s">
        <v>1149</v>
      </c>
      <c r="E22" s="18">
        <v>1982</v>
      </c>
      <c r="F22" s="19" t="s">
        <v>19</v>
      </c>
      <c r="G22" s="19" t="s">
        <v>129</v>
      </c>
      <c r="H22" s="19" t="s">
        <v>27</v>
      </c>
      <c r="I22" s="17">
        <v>987892839</v>
      </c>
      <c r="J22" s="16" t="s">
        <v>734</v>
      </c>
      <c r="K22" s="52">
        <v>5</v>
      </c>
      <c r="L22" s="10"/>
      <c r="M22" s="11"/>
      <c r="N22" s="11"/>
      <c r="O22" s="11"/>
      <c r="P22" s="11"/>
      <c r="Q22" s="11"/>
      <c r="R22" s="32"/>
    </row>
    <row r="23" spans="1:18" s="6" customFormat="1" ht="36" customHeight="1">
      <c r="A23" s="30">
        <v>16</v>
      </c>
      <c r="B23" s="18">
        <v>376</v>
      </c>
      <c r="C23" s="19" t="s">
        <v>130</v>
      </c>
      <c r="D23" s="19" t="s">
        <v>1095</v>
      </c>
      <c r="E23" s="18">
        <v>1978</v>
      </c>
      <c r="F23" s="19" t="s">
        <v>21</v>
      </c>
      <c r="G23" s="19" t="s">
        <v>64</v>
      </c>
      <c r="H23" s="19" t="s">
        <v>27</v>
      </c>
      <c r="I23" s="17">
        <v>1178029862</v>
      </c>
      <c r="J23" s="16" t="s">
        <v>315</v>
      </c>
      <c r="K23" s="52">
        <v>5</v>
      </c>
      <c r="L23" s="10"/>
      <c r="M23" s="11"/>
      <c r="N23" s="11"/>
      <c r="O23" s="11"/>
      <c r="P23" s="11"/>
      <c r="Q23" s="11"/>
      <c r="R23" s="32"/>
    </row>
    <row r="24" spans="1:18" s="6" customFormat="1" ht="29.25" customHeight="1">
      <c r="A24" s="30">
        <v>17</v>
      </c>
      <c r="B24" s="18">
        <v>377</v>
      </c>
      <c r="C24" s="19" t="s">
        <v>132</v>
      </c>
      <c r="D24" s="19" t="s">
        <v>1097</v>
      </c>
      <c r="E24" s="18">
        <v>1978</v>
      </c>
      <c r="F24" s="19" t="s">
        <v>21</v>
      </c>
      <c r="G24" s="19" t="s">
        <v>133</v>
      </c>
      <c r="H24" s="19" t="s">
        <v>27</v>
      </c>
      <c r="I24" s="17">
        <v>1178010346</v>
      </c>
      <c r="J24" s="16" t="s">
        <v>315</v>
      </c>
      <c r="K24" s="52">
        <v>5</v>
      </c>
      <c r="L24" s="10"/>
      <c r="M24" s="13"/>
      <c r="N24" s="12"/>
      <c r="O24" s="12"/>
      <c r="P24" s="12"/>
      <c r="Q24" s="12"/>
      <c r="R24" s="32"/>
    </row>
    <row r="25" spans="1:18" s="6" customFormat="1" ht="29.25" customHeight="1">
      <c r="A25" s="30">
        <v>18</v>
      </c>
      <c r="B25" s="18">
        <v>378</v>
      </c>
      <c r="C25" s="19" t="s">
        <v>134</v>
      </c>
      <c r="D25" s="19" t="s">
        <v>1150</v>
      </c>
      <c r="E25" s="18">
        <v>1982</v>
      </c>
      <c r="F25" s="19" t="s">
        <v>21</v>
      </c>
      <c r="G25" s="19" t="s">
        <v>34</v>
      </c>
      <c r="H25" s="19" t="s">
        <v>27</v>
      </c>
      <c r="I25" s="17">
        <v>26182001327</v>
      </c>
      <c r="J25" s="16" t="s">
        <v>315</v>
      </c>
      <c r="K25" s="52">
        <v>5</v>
      </c>
      <c r="L25" s="10"/>
      <c r="M25" s="12"/>
      <c r="N25" s="12"/>
      <c r="O25" s="12"/>
      <c r="P25" s="12"/>
      <c r="Q25" s="12"/>
      <c r="R25" s="32"/>
    </row>
    <row r="26" spans="1:18" s="6" customFormat="1" ht="29.25" customHeight="1">
      <c r="A26" s="30">
        <v>19</v>
      </c>
      <c r="B26" s="18">
        <v>379</v>
      </c>
      <c r="C26" s="19" t="s">
        <v>135</v>
      </c>
      <c r="D26" s="19" t="s">
        <v>1151</v>
      </c>
      <c r="E26" s="18">
        <v>1979</v>
      </c>
      <c r="F26" s="19" t="s">
        <v>21</v>
      </c>
      <c r="G26" s="19" t="s">
        <v>34</v>
      </c>
      <c r="H26" s="19" t="s">
        <v>27</v>
      </c>
      <c r="I26" s="17">
        <v>1079050226</v>
      </c>
      <c r="J26" s="16" t="s">
        <v>315</v>
      </c>
      <c r="K26" s="52">
        <v>5</v>
      </c>
      <c r="L26" s="10"/>
      <c r="M26" s="12"/>
      <c r="N26" s="12"/>
      <c r="O26" s="12"/>
      <c r="P26" s="12"/>
      <c r="Q26" s="12"/>
      <c r="R26" s="32"/>
    </row>
    <row r="27" spans="1:18" s="7" customFormat="1" ht="23.25" customHeight="1">
      <c r="A27" s="30">
        <v>20</v>
      </c>
      <c r="B27" s="18">
        <v>380</v>
      </c>
      <c r="C27" s="19" t="s">
        <v>37</v>
      </c>
      <c r="D27" s="19" t="s">
        <v>1152</v>
      </c>
      <c r="E27" s="18">
        <v>1981</v>
      </c>
      <c r="F27" s="19" t="s">
        <v>21</v>
      </c>
      <c r="G27" s="19" t="s">
        <v>34</v>
      </c>
      <c r="H27" s="19" t="s">
        <v>27</v>
      </c>
      <c r="I27" s="15">
        <v>1181043471</v>
      </c>
      <c r="J27" s="16" t="s">
        <v>315</v>
      </c>
      <c r="K27" s="52">
        <v>5</v>
      </c>
      <c r="L27" s="10"/>
      <c r="M27" s="12"/>
      <c r="N27" s="12"/>
      <c r="O27" s="12"/>
      <c r="P27" s="12"/>
      <c r="Q27" s="12"/>
      <c r="R27" s="32"/>
    </row>
    <row r="28" spans="1:18" s="7" customFormat="1" ht="23.25" customHeight="1">
      <c r="A28" s="1"/>
      <c r="B28" s="2"/>
      <c r="C28" s="1"/>
      <c r="D28" s="1"/>
      <c r="E28" s="2"/>
      <c r="F28" s="3" t="s">
        <v>13</v>
      </c>
      <c r="G28" s="2"/>
      <c r="H28" s="2"/>
      <c r="I28" s="2"/>
      <c r="J28" s="2"/>
      <c r="L28" s="4"/>
      <c r="M28" s="4"/>
      <c r="N28" s="4" t="s">
        <v>14</v>
      </c>
      <c r="O28" s="4"/>
      <c r="P28" s="4"/>
      <c r="Q28" s="2"/>
      <c r="R28" s="2"/>
    </row>
    <row r="29" spans="1:18" s="7" customFormat="1" ht="23.25" customHeight="1">
      <c r="A29" s="1" t="s">
        <v>49</v>
      </c>
      <c r="B29" s="2"/>
      <c r="C29" s="1"/>
      <c r="D29" s="1"/>
      <c r="E29" s="2"/>
      <c r="F29" s="3"/>
      <c r="G29" s="2"/>
      <c r="H29" s="2"/>
      <c r="I29" s="2"/>
      <c r="J29" s="2"/>
      <c r="K29" s="4"/>
      <c r="L29" s="4"/>
      <c r="M29" s="4"/>
      <c r="N29" s="4"/>
      <c r="O29" s="4"/>
      <c r="P29" s="4"/>
      <c r="Q29" s="2"/>
      <c r="R29" s="2"/>
    </row>
    <row r="30" spans="1:18" s="7" customFormat="1" ht="23.25" customHeight="1">
      <c r="A30" s="1" t="s">
        <v>15</v>
      </c>
      <c r="B30" s="2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s="7" customFormat="1" ht="23.25" customHeight="1">
      <c r="A31" s="1" t="s">
        <v>16</v>
      </c>
      <c r="B31" s="2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s="8" customFormat="1" ht="24.75" customHeight="1">
      <c r="A32" s="1" t="s">
        <v>17</v>
      </c>
      <c r="B32" s="2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27.75" customHeight="1">
      <c r="A33" s="1" t="s">
        <v>18</v>
      </c>
      <c r="B33" s="8"/>
      <c r="C33" s="8"/>
      <c r="D33" s="8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</sheetData>
  <mergeCells count="17">
    <mergeCell ref="L5:L6"/>
    <mergeCell ref="D5:D6"/>
    <mergeCell ref="A1:R1"/>
    <mergeCell ref="A2:R2"/>
    <mergeCell ref="A3:R3"/>
    <mergeCell ref="M5:Q5"/>
    <mergeCell ref="R5:R6"/>
    <mergeCell ref="A5:A6"/>
    <mergeCell ref="B5:B6"/>
    <mergeCell ref="C5:C6"/>
    <mergeCell ref="E5:E6"/>
    <mergeCell ref="F5:F6"/>
    <mergeCell ref="G5:G6"/>
    <mergeCell ref="H5:H6"/>
    <mergeCell ref="I5:I6"/>
    <mergeCell ref="J5:J6"/>
    <mergeCell ref="K5:K6"/>
  </mergeCells>
  <phoneticPr fontId="17" type="noConversion"/>
  <conditionalFormatting sqref="C7:D7">
    <cfRule type="duplicateValues" dxfId="32" priority="1"/>
  </conditionalFormatting>
  <conditionalFormatting sqref="C8:D27">
    <cfRule type="duplicateValues" dxfId="31" priority="2"/>
  </conditionalFormatting>
  <pageMargins left="0.118110236220472" right="0.118110236220472" top="0.21" bottom="0.15748031496063" header="0.2" footer="0.17"/>
  <pageSetup paperSize="9" scale="6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33"/>
  <sheetViews>
    <sheetView zoomScale="55" zoomScaleNormal="55" workbookViewId="0">
      <selection activeCell="A8" sqref="A8:J27"/>
    </sheetView>
  </sheetViews>
  <sheetFormatPr defaultColWidth="9" defaultRowHeight="15"/>
  <cols>
    <col min="1" max="1" width="14.85546875" style="5" customWidth="1"/>
    <col min="2" max="2" width="15.28515625" style="5" customWidth="1"/>
    <col min="3" max="4" width="34.85546875" style="5" customWidth="1"/>
    <col min="5" max="5" width="16.42578125" style="5" customWidth="1"/>
    <col min="6" max="6" width="15.28515625" style="5" customWidth="1"/>
    <col min="7" max="7" width="27.42578125" style="5" customWidth="1"/>
    <col min="8" max="8" width="15.7109375" style="5" customWidth="1"/>
    <col min="9" max="9" width="31.28515625" style="5" customWidth="1"/>
    <col min="10" max="10" width="56.28515625" style="5" bestFit="1" customWidth="1"/>
    <col min="11" max="11" width="15.85546875" style="5" customWidth="1"/>
    <col min="12" max="17" width="16.42578125" style="5" customWidth="1"/>
    <col min="18" max="18" width="20.42578125" style="5" customWidth="1"/>
    <col min="19" max="16384" width="9" style="5"/>
  </cols>
  <sheetData>
    <row r="1" spans="1:18" s="9" customFormat="1" ht="43.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s="9" customFormat="1" ht="24" customHeight="1">
      <c r="A2" s="64" t="s">
        <v>289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s="9" customFormat="1" ht="35.25" customHeight="1">
      <c r="A3" s="64" t="s">
        <v>28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12" customHeight="1"/>
    <row r="5" spans="1:18" ht="41.25" customHeight="1">
      <c r="A5" s="73" t="s">
        <v>1</v>
      </c>
      <c r="B5" s="73" t="s">
        <v>50</v>
      </c>
      <c r="C5" s="73" t="s">
        <v>51</v>
      </c>
      <c r="D5" s="65" t="s">
        <v>659</v>
      </c>
      <c r="E5" s="73" t="s">
        <v>52</v>
      </c>
      <c r="F5" s="73" t="s">
        <v>53</v>
      </c>
      <c r="G5" s="73" t="s">
        <v>54</v>
      </c>
      <c r="H5" s="73" t="s">
        <v>55</v>
      </c>
      <c r="I5" s="74" t="s">
        <v>2</v>
      </c>
      <c r="J5" s="74" t="s">
        <v>3</v>
      </c>
      <c r="K5" s="73" t="s">
        <v>4</v>
      </c>
      <c r="L5" s="73" t="s">
        <v>5</v>
      </c>
      <c r="M5" s="73" t="s">
        <v>6</v>
      </c>
      <c r="N5" s="73"/>
      <c r="O5" s="73"/>
      <c r="P5" s="73"/>
      <c r="Q5" s="73"/>
      <c r="R5" s="73" t="s">
        <v>7</v>
      </c>
    </row>
    <row r="6" spans="1:18" ht="48" customHeight="1">
      <c r="A6" s="73"/>
      <c r="B6" s="73"/>
      <c r="C6" s="73"/>
      <c r="D6" s="66"/>
      <c r="E6" s="73"/>
      <c r="F6" s="73"/>
      <c r="G6" s="73"/>
      <c r="H6" s="73"/>
      <c r="I6" s="74"/>
      <c r="J6" s="74"/>
      <c r="K6" s="73"/>
      <c r="L6" s="73"/>
      <c r="M6" s="14" t="s">
        <v>8</v>
      </c>
      <c r="N6" s="14" t="s">
        <v>9</v>
      </c>
      <c r="O6" s="14" t="s">
        <v>10</v>
      </c>
      <c r="P6" s="14" t="s">
        <v>11</v>
      </c>
      <c r="Q6" s="14" t="s">
        <v>12</v>
      </c>
      <c r="R6" s="73"/>
    </row>
    <row r="7" spans="1:18" s="6" customFormat="1" ht="29.25" customHeight="1">
      <c r="A7" s="30" t="s">
        <v>660</v>
      </c>
      <c r="B7" s="18" t="s">
        <v>671</v>
      </c>
      <c r="C7" s="19" t="s">
        <v>672</v>
      </c>
      <c r="D7" s="19" t="s">
        <v>673</v>
      </c>
      <c r="E7" s="18" t="s">
        <v>686</v>
      </c>
      <c r="F7" s="19" t="s">
        <v>687</v>
      </c>
      <c r="G7" s="19" t="s">
        <v>688</v>
      </c>
      <c r="H7" s="19" t="s">
        <v>689</v>
      </c>
      <c r="I7" s="17" t="s">
        <v>690</v>
      </c>
      <c r="J7" s="16" t="s">
        <v>691</v>
      </c>
      <c r="K7" s="25" t="s">
        <v>692</v>
      </c>
      <c r="L7" s="10" t="s">
        <v>693</v>
      </c>
      <c r="M7" s="11" t="s">
        <v>694</v>
      </c>
      <c r="N7" s="11" t="s">
        <v>695</v>
      </c>
      <c r="O7" s="11" t="s">
        <v>696</v>
      </c>
      <c r="P7" s="11" t="s">
        <v>697</v>
      </c>
      <c r="Q7" s="11" t="s">
        <v>698</v>
      </c>
      <c r="R7" s="32" t="s">
        <v>699</v>
      </c>
    </row>
    <row r="8" spans="1:18" s="6" customFormat="1" ht="29.25" customHeight="1">
      <c r="A8" s="30">
        <v>1</v>
      </c>
      <c r="B8" s="18">
        <v>381</v>
      </c>
      <c r="C8" s="19" t="s">
        <v>136</v>
      </c>
      <c r="D8" s="19" t="s">
        <v>1109</v>
      </c>
      <c r="E8" s="18">
        <v>1979</v>
      </c>
      <c r="F8" s="19" t="s">
        <v>21</v>
      </c>
      <c r="G8" s="19" t="s">
        <v>26</v>
      </c>
      <c r="H8" s="19" t="s">
        <v>61</v>
      </c>
      <c r="I8" s="17" t="str">
        <f>IF(ISBLANK(Merge20!T2), IF(ISBLANK(Merge20!U2), "", Merge20!U2),Merge20!T2&amp; IF(ISBLANK(Merge20!U2), "", "-"&amp;Merge20!U2))</f>
        <v>001079033488-C510532707</v>
      </c>
      <c r="J8" s="16" t="str">
        <f>IF(ISBLANK(Merge20!S2),"",Merge20!S2)</f>
        <v>Giáo viên trung học cơ sở hạng I - V.07.04.30</v>
      </c>
      <c r="K8" s="52">
        <v>5</v>
      </c>
      <c r="L8" s="10"/>
      <c r="M8" s="11"/>
      <c r="N8" s="11"/>
      <c r="O8" s="11"/>
      <c r="P8" s="11"/>
      <c r="Q8" s="11"/>
      <c r="R8" s="32"/>
    </row>
    <row r="9" spans="1:18" s="6" customFormat="1" ht="29.25" customHeight="1">
      <c r="A9" s="30">
        <v>2</v>
      </c>
      <c r="B9" s="18">
        <v>382</v>
      </c>
      <c r="C9" s="19" t="s">
        <v>137</v>
      </c>
      <c r="D9" s="19" t="s">
        <v>1154</v>
      </c>
      <c r="E9" s="18">
        <v>1983</v>
      </c>
      <c r="F9" s="19" t="s">
        <v>19</v>
      </c>
      <c r="G9" s="19" t="s">
        <v>138</v>
      </c>
      <c r="H9" s="19" t="s">
        <v>39</v>
      </c>
      <c r="I9" s="17" t="str">
        <f>IF(ISBLANK(Merge20!T3), IF(ISBLANK(Merge20!U3), "", Merge20!U3),Merge20!T3&amp; IF(ISBLANK(Merge20!U3), "", "-"&amp;Merge20!U3))</f>
        <v>001176033068</v>
      </c>
      <c r="J9" s="16" t="str">
        <f>IF(ISBLANK(Merge20!S3),"",Merge20!S3)</f>
        <v>Giáo viên trung học cơ sở hạng II - V.07.04.31</v>
      </c>
      <c r="K9" s="52">
        <v>5</v>
      </c>
      <c r="L9" s="10"/>
      <c r="M9" s="11"/>
      <c r="N9" s="11"/>
      <c r="O9" s="11"/>
      <c r="P9" s="11"/>
      <c r="Q9" s="11"/>
      <c r="R9" s="32"/>
    </row>
    <row r="10" spans="1:18" s="6" customFormat="1" ht="29.25" customHeight="1">
      <c r="A10" s="30">
        <v>3</v>
      </c>
      <c r="B10" s="18">
        <v>383</v>
      </c>
      <c r="C10" s="19" t="s">
        <v>139</v>
      </c>
      <c r="D10" s="19" t="s">
        <v>1155</v>
      </c>
      <c r="E10" s="18">
        <v>1984</v>
      </c>
      <c r="F10" s="19" t="s">
        <v>21</v>
      </c>
      <c r="G10" s="19" t="s">
        <v>140</v>
      </c>
      <c r="H10" s="19" t="s">
        <v>61</v>
      </c>
      <c r="I10" s="17" t="str">
        <f>IF(ISBLANK(Merge20!T4), IF(ISBLANK(Merge20!U4), "", Merge20!U4),Merge20!T4&amp; IF(ISBLANK(Merge20!U4), "", "-"&amp;Merge20!U4))</f>
        <v>001075010580</v>
      </c>
      <c r="J10" s="16" t="str">
        <f>IF(ISBLANK(Merge20!S4),"",Merge20!S4)</f>
        <v>Giáo viên trung học cơ sở hạng II - V.07.04.31</v>
      </c>
      <c r="K10" s="52">
        <v>5</v>
      </c>
      <c r="L10" s="10"/>
      <c r="M10" s="12"/>
      <c r="N10" s="12"/>
      <c r="O10" s="12"/>
      <c r="P10" s="12"/>
      <c r="Q10" s="12"/>
      <c r="R10" s="32"/>
    </row>
    <row r="11" spans="1:18" s="6" customFormat="1" ht="34.5" customHeight="1">
      <c r="A11" s="30">
        <v>4</v>
      </c>
      <c r="B11" s="18">
        <v>384</v>
      </c>
      <c r="C11" s="19" t="s">
        <v>141</v>
      </c>
      <c r="D11" s="19" t="s">
        <v>1102</v>
      </c>
      <c r="E11" s="18">
        <v>1979</v>
      </c>
      <c r="F11" s="19" t="s">
        <v>21</v>
      </c>
      <c r="G11" s="19" t="s">
        <v>70</v>
      </c>
      <c r="H11" s="19" t="s">
        <v>71</v>
      </c>
      <c r="I11" s="17" t="str">
        <f>IF(ISBLANK(Merge20!T5), IF(ISBLANK(Merge20!U5), "", Merge20!U5),Merge20!T5&amp; IF(ISBLANK(Merge20!U5), "", "-"&amp;Merge20!U5))</f>
        <v>‘001177017369</v>
      </c>
      <c r="J11" s="16" t="str">
        <f>IF(ISBLANK(Merge20!S5),"",Merge20!S5)</f>
        <v>Giáo viên trung học cơ sở hạng II - V.07.04.31</v>
      </c>
      <c r="K11" s="52">
        <v>5</v>
      </c>
      <c r="L11" s="10"/>
      <c r="M11" s="11"/>
      <c r="N11" s="11"/>
      <c r="O11" s="11"/>
      <c r="P11" s="11"/>
      <c r="Q11" s="11"/>
      <c r="R11" s="32"/>
    </row>
    <row r="12" spans="1:18" s="6" customFormat="1" ht="29.25" customHeight="1">
      <c r="A12" s="30">
        <v>5</v>
      </c>
      <c r="B12" s="18">
        <v>385</v>
      </c>
      <c r="C12" s="19" t="s">
        <v>142</v>
      </c>
      <c r="D12" s="19" t="s">
        <v>1111</v>
      </c>
      <c r="E12" s="18">
        <v>1977</v>
      </c>
      <c r="F12" s="19" t="s">
        <v>21</v>
      </c>
      <c r="G12" s="19" t="s">
        <v>143</v>
      </c>
      <c r="H12" s="19" t="s">
        <v>121</v>
      </c>
      <c r="I12" s="17" t="str">
        <f>IF(ISBLANK(Merge20!T6), IF(ISBLANK(Merge20!U6), "", Merge20!U6),Merge20!T6&amp; IF(ISBLANK(Merge20!U6), "", "-"&amp;Merge20!U6))</f>
        <v>001175013832</v>
      </c>
      <c r="J12" s="16" t="s">
        <v>315</v>
      </c>
      <c r="K12" s="53">
        <v>4.5</v>
      </c>
      <c r="L12" s="10"/>
      <c r="M12" s="13"/>
      <c r="N12" s="12"/>
      <c r="O12" s="12"/>
      <c r="P12" s="12"/>
      <c r="Q12" s="12"/>
      <c r="R12" s="32"/>
    </row>
    <row r="13" spans="1:18" s="6" customFormat="1" ht="29.25" customHeight="1">
      <c r="A13" s="30">
        <v>6</v>
      </c>
      <c r="B13" s="18">
        <v>386</v>
      </c>
      <c r="C13" s="19" t="s">
        <v>144</v>
      </c>
      <c r="D13" s="19" t="s">
        <v>1065</v>
      </c>
      <c r="E13" s="18">
        <v>1996</v>
      </c>
      <c r="F13" s="19" t="s">
        <v>19</v>
      </c>
      <c r="G13" s="19" t="s">
        <v>145</v>
      </c>
      <c r="H13" s="19" t="s">
        <v>146</v>
      </c>
      <c r="I13" s="17" t="str">
        <f>IF(ISBLANK(Merge20!T7), IF(ISBLANK(Merge20!U7), "", Merge20!U7),Merge20!T7&amp; IF(ISBLANK(Merge20!U7), "", "-"&amp;Merge20!U7))</f>
        <v>026179008039</v>
      </c>
      <c r="J13" s="16" t="str">
        <f>IF(ISBLANK(Merge20!S7),"",Merge20!S7)</f>
        <v>Giáo viên trung học cơ sở hạng II - V.07.04.31</v>
      </c>
      <c r="K13" s="52">
        <v>5</v>
      </c>
      <c r="L13" s="10"/>
      <c r="M13" s="11"/>
      <c r="N13" s="11"/>
      <c r="O13" s="11"/>
      <c r="P13" s="11"/>
      <c r="Q13" s="11"/>
      <c r="R13" s="32"/>
    </row>
    <row r="14" spans="1:18" s="6" customFormat="1" ht="29.25" customHeight="1">
      <c r="A14" s="30">
        <v>7</v>
      </c>
      <c r="B14" s="18">
        <v>387</v>
      </c>
      <c r="C14" s="19" t="s">
        <v>147</v>
      </c>
      <c r="D14" s="19" t="s">
        <v>1087</v>
      </c>
      <c r="E14" s="18">
        <v>1979</v>
      </c>
      <c r="F14" s="19" t="s">
        <v>30</v>
      </c>
      <c r="G14" s="19" t="s">
        <v>148</v>
      </c>
      <c r="H14" s="19" t="s">
        <v>149</v>
      </c>
      <c r="I14" s="17" t="str">
        <f>IF(ISBLANK(Merge20!T8), IF(ISBLANK(Merge20!U8), "", Merge20!U8),Merge20!T8&amp; IF(ISBLANK(Merge20!U8), "", "-"&amp;Merge20!U8))</f>
        <v>001176004956</v>
      </c>
      <c r="J14" s="16" t="str">
        <f>IF(ISBLANK(Merge20!S8),"",Merge20!S8)</f>
        <v>Giáo viên trung học phổ thông hạng III - V.07.05.15</v>
      </c>
      <c r="K14" s="53">
        <v>4.5</v>
      </c>
      <c r="L14" s="10"/>
      <c r="M14" s="12"/>
      <c r="N14" s="12"/>
      <c r="O14" s="12"/>
      <c r="P14" s="12"/>
      <c r="Q14" s="12"/>
      <c r="R14" s="32"/>
    </row>
    <row r="15" spans="1:18" s="6" customFormat="1" ht="32.25" customHeight="1">
      <c r="A15" s="30">
        <v>8</v>
      </c>
      <c r="B15" s="18">
        <v>388</v>
      </c>
      <c r="C15" s="19" t="s">
        <v>150</v>
      </c>
      <c r="D15" s="19" t="s">
        <v>1113</v>
      </c>
      <c r="E15" s="18">
        <v>1977</v>
      </c>
      <c r="F15" s="19" t="s">
        <v>30</v>
      </c>
      <c r="G15" s="19" t="s">
        <v>151</v>
      </c>
      <c r="H15" s="19" t="s">
        <v>81</v>
      </c>
      <c r="I15" s="15" t="str">
        <f>IF(ISBLANK(Merge20!T9), IF(ISBLANK(Merge20!U9), "", Merge20!U9),Merge20!T9&amp; IF(ISBLANK(Merge20!U9), "", "-"&amp;Merge20!U9))</f>
        <v>001077024738</v>
      </c>
      <c r="J15" s="16" t="str">
        <f>IF(ISBLANK(Merge20!S9),"",Merge20!S9)</f>
        <v>Giáo viên trung học cơ sở hạng II - V.07.04.31</v>
      </c>
      <c r="K15" s="52">
        <v>5</v>
      </c>
      <c r="L15" s="10"/>
      <c r="M15" s="12"/>
      <c r="N15" s="12"/>
      <c r="O15" s="12"/>
      <c r="P15" s="12"/>
      <c r="Q15" s="12"/>
      <c r="R15" s="32"/>
    </row>
    <row r="16" spans="1:18" s="6" customFormat="1" ht="37.5" customHeight="1">
      <c r="A16" s="30">
        <v>9</v>
      </c>
      <c r="B16" s="18">
        <v>389</v>
      </c>
      <c r="C16" s="19" t="s">
        <v>152</v>
      </c>
      <c r="D16" s="19" t="s">
        <v>1110</v>
      </c>
      <c r="E16" s="18">
        <v>1976</v>
      </c>
      <c r="F16" s="19" t="s">
        <v>30</v>
      </c>
      <c r="G16" s="19" t="s">
        <v>153</v>
      </c>
      <c r="H16" s="19" t="s">
        <v>76</v>
      </c>
      <c r="I16" s="17" t="str">
        <f>IF(ISBLANK(Merge20!T10), IF(ISBLANK(Merge20!U10), "", Merge20!U10),Merge20!T10&amp; IF(ISBLANK(Merge20!U10), "", "-"&amp;Merge20!U10))</f>
        <v>001177014103</v>
      </c>
      <c r="J16" s="16" t="str">
        <f>IF(ISBLANK(Merge20!S10),"",Merge20!S10)</f>
        <v>Giáo viên trung học phổ thông hạng III - V.07.05.15</v>
      </c>
      <c r="K16" s="52">
        <v>5</v>
      </c>
      <c r="L16" s="10"/>
      <c r="M16" s="13"/>
      <c r="N16" s="12"/>
      <c r="O16" s="12"/>
      <c r="P16" s="12"/>
      <c r="Q16" s="12"/>
      <c r="R16" s="32"/>
    </row>
    <row r="17" spans="1:18" s="6" customFormat="1" ht="29.25" customHeight="1">
      <c r="A17" s="30">
        <v>10</v>
      </c>
      <c r="B17" s="18">
        <v>390</v>
      </c>
      <c r="C17" s="19" t="s">
        <v>154</v>
      </c>
      <c r="D17" s="19" t="s">
        <v>1156</v>
      </c>
      <c r="E17" s="18">
        <v>1975</v>
      </c>
      <c r="F17" s="19" t="s">
        <v>30</v>
      </c>
      <c r="G17" s="19" t="s">
        <v>148</v>
      </c>
      <c r="H17" s="19" t="s">
        <v>149</v>
      </c>
      <c r="I17" s="17" t="str">
        <f>IF(ISBLANK(Merge20!T11), IF(ISBLANK(Merge20!U11), "", Merge20!U11),Merge20!T11&amp; IF(ISBLANK(Merge20!U11), "", "-"&amp;Merge20!U11))</f>
        <v>001178022441</v>
      </c>
      <c r="J17" s="16" t="str">
        <f>IF(ISBLANK(Merge20!S11),"",Merge20!S11)</f>
        <v>Giáo viên trung học cơ sở hạng II - V.07.04.31</v>
      </c>
      <c r="K17" s="52">
        <v>5</v>
      </c>
      <c r="L17" s="10"/>
      <c r="M17" s="13"/>
      <c r="N17" s="12"/>
      <c r="O17" s="12"/>
      <c r="P17" s="12"/>
      <c r="Q17" s="12"/>
      <c r="R17" s="32"/>
    </row>
    <row r="18" spans="1:18" s="6" customFormat="1" ht="39" customHeight="1">
      <c r="A18" s="30">
        <v>11</v>
      </c>
      <c r="B18" s="18">
        <v>391</v>
      </c>
      <c r="C18" s="19" t="s">
        <v>155</v>
      </c>
      <c r="D18" s="19" t="s">
        <v>1114</v>
      </c>
      <c r="E18" s="18">
        <v>1978</v>
      </c>
      <c r="F18" s="19" t="s">
        <v>21</v>
      </c>
      <c r="G18" s="19" t="s">
        <v>156</v>
      </c>
      <c r="H18" s="19" t="s">
        <v>157</v>
      </c>
      <c r="I18" s="17" t="str">
        <f>IF(ISBLANK(Merge20!T12), IF(ISBLANK(Merge20!U12), "", Merge20!U12),Merge20!T12&amp; IF(ISBLANK(Merge20!U12), "", "-"&amp;Merge20!U12))</f>
        <v>001179000066</v>
      </c>
      <c r="J18" s="16" t="str">
        <f>IF(ISBLANK(Merge20!S12),"",Merge20!S12)</f>
        <v>Giáo viên trung học cơ sở hạng III - V.07.04.32</v>
      </c>
      <c r="K18" s="52">
        <v>5</v>
      </c>
      <c r="L18" s="10"/>
      <c r="M18" s="11"/>
      <c r="N18" s="11"/>
      <c r="O18" s="11"/>
      <c r="P18" s="11"/>
      <c r="Q18" s="11"/>
      <c r="R18" s="32"/>
    </row>
    <row r="19" spans="1:18" s="6" customFormat="1" ht="29.25" customHeight="1">
      <c r="A19" s="30">
        <v>12</v>
      </c>
      <c r="B19" s="18">
        <v>392</v>
      </c>
      <c r="C19" s="19" t="s">
        <v>158</v>
      </c>
      <c r="D19" s="19" t="s">
        <v>1086</v>
      </c>
      <c r="E19" s="18">
        <v>1976</v>
      </c>
      <c r="F19" s="19" t="s">
        <v>21</v>
      </c>
      <c r="G19" s="19" t="s">
        <v>156</v>
      </c>
      <c r="H19" s="19" t="s">
        <v>157</v>
      </c>
      <c r="I19" s="17" t="str">
        <f>IF(ISBLANK(Merge20!T13), IF(ISBLANK(Merge20!U13), "", Merge20!U13),Merge20!T13&amp; IF(ISBLANK(Merge20!U13), "", "-"&amp;Merge20!U13))</f>
        <v>001194046711</v>
      </c>
      <c r="J19" s="16" t="str">
        <f>IF(ISBLANK(Merge20!S13),"",Merge20!S13)</f>
        <v>Giáo viên trung học cơ sở hạng II - V.07.04.31</v>
      </c>
      <c r="K19" s="52">
        <v>5</v>
      </c>
      <c r="L19" s="10"/>
      <c r="M19" s="13"/>
      <c r="N19" s="12"/>
      <c r="O19" s="12"/>
      <c r="P19" s="12"/>
      <c r="Q19" s="12"/>
      <c r="R19" s="32"/>
    </row>
    <row r="20" spans="1:18" s="6" customFormat="1" ht="29.25" customHeight="1">
      <c r="A20" s="30">
        <v>13</v>
      </c>
      <c r="B20" s="18">
        <v>393</v>
      </c>
      <c r="C20" s="19" t="s">
        <v>159</v>
      </c>
      <c r="D20" s="19" t="s">
        <v>1107</v>
      </c>
      <c r="E20" s="18">
        <v>1977</v>
      </c>
      <c r="F20" s="19" t="s">
        <v>21</v>
      </c>
      <c r="G20" s="19" t="s">
        <v>160</v>
      </c>
      <c r="H20" s="19" t="s">
        <v>76</v>
      </c>
      <c r="I20" s="17" t="str">
        <f>IF(ISBLANK(Merge20!T14), IF(ISBLANK(Merge20!U14), "", Merge20!U14),Merge20!T14&amp; IF(ISBLANK(Merge20!U14), "", "-"&amp;Merge20!U14))</f>
        <v>‘001178001577</v>
      </c>
      <c r="J20" s="16" t="str">
        <f>IF(ISBLANK(Merge20!S14),"",Merge20!S14)</f>
        <v>Giáo viên trung học cơ sở hạng II - V.07.04.31</v>
      </c>
      <c r="K20" s="52">
        <v>4.5</v>
      </c>
      <c r="L20" s="10"/>
      <c r="M20" s="11"/>
      <c r="N20" s="11"/>
      <c r="O20" s="11"/>
      <c r="P20" s="11"/>
      <c r="Q20" s="11"/>
      <c r="R20" s="32"/>
    </row>
    <row r="21" spans="1:18" s="6" customFormat="1" ht="29.25" customHeight="1">
      <c r="A21" s="30">
        <v>14</v>
      </c>
      <c r="B21" s="18">
        <v>394</v>
      </c>
      <c r="C21" s="19" t="s">
        <v>161</v>
      </c>
      <c r="D21" s="19" t="s">
        <v>1106</v>
      </c>
      <c r="E21" s="18">
        <v>1975</v>
      </c>
      <c r="F21" s="19" t="s">
        <v>21</v>
      </c>
      <c r="G21" s="19" t="s">
        <v>75</v>
      </c>
      <c r="H21" s="19" t="s">
        <v>76</v>
      </c>
      <c r="I21" s="17" t="str">
        <f>IF(ISBLANK(Merge20!T15), IF(ISBLANK(Merge20!U15), "", Merge20!U15),Merge20!T15&amp; IF(ISBLANK(Merge20!U15), "", "-"&amp;Merge20!U15))</f>
        <v>026176000273</v>
      </c>
      <c r="J21" s="16" t="str">
        <f>IF(ISBLANK(Merge20!S15),"",Merge20!S15)</f>
        <v>Giáo viên trung học cơ sở hạng II - V.07.04.31</v>
      </c>
      <c r="K21" s="52">
        <v>5</v>
      </c>
      <c r="L21" s="10"/>
      <c r="M21" s="11"/>
      <c r="N21" s="11"/>
      <c r="O21" s="11"/>
      <c r="P21" s="11"/>
      <c r="Q21" s="11"/>
      <c r="R21" s="32"/>
    </row>
    <row r="22" spans="1:18" s="6" customFormat="1" ht="29.25" customHeight="1">
      <c r="A22" s="30">
        <v>15</v>
      </c>
      <c r="B22" s="18">
        <v>395</v>
      </c>
      <c r="C22" s="19" t="s">
        <v>162</v>
      </c>
      <c r="D22" s="19" t="s">
        <v>1108</v>
      </c>
      <c r="E22" s="18">
        <v>1975</v>
      </c>
      <c r="F22" s="19" t="s">
        <v>21</v>
      </c>
      <c r="G22" s="19" t="s">
        <v>78</v>
      </c>
      <c r="H22" s="19" t="s">
        <v>76</v>
      </c>
      <c r="I22" s="17" t="str">
        <f>IF(ISBLANK(Merge20!T16), IF(ISBLANK(Merge20!U16), "", Merge20!U16),Merge20!T16&amp; IF(ISBLANK(Merge20!U16), "", "-"&amp;Merge20!U16))</f>
        <v>001179047464</v>
      </c>
      <c r="J22" s="16" t="str">
        <f>IF(ISBLANK(Merge20!S16),"",Merge20!S16)</f>
        <v>Giáo viên trung học phổ thông hạng III - V.07.05.15</v>
      </c>
      <c r="K22" s="52">
        <v>5</v>
      </c>
      <c r="L22" s="10"/>
      <c r="M22" s="11"/>
      <c r="N22" s="11"/>
      <c r="O22" s="11"/>
      <c r="P22" s="11"/>
      <c r="Q22" s="11"/>
      <c r="R22" s="32"/>
    </row>
    <row r="23" spans="1:18" s="6" customFormat="1" ht="36" customHeight="1">
      <c r="A23" s="30">
        <v>16</v>
      </c>
      <c r="B23" s="18">
        <v>739</v>
      </c>
      <c r="C23" s="19" t="s">
        <v>163</v>
      </c>
      <c r="D23" s="19" t="s">
        <v>1157</v>
      </c>
      <c r="E23" s="18">
        <v>1987</v>
      </c>
      <c r="F23" s="19" t="s">
        <v>30</v>
      </c>
      <c r="G23" s="19" t="s">
        <v>31</v>
      </c>
      <c r="H23" s="19" t="s">
        <v>32</v>
      </c>
      <c r="I23" s="17">
        <v>1187041867</v>
      </c>
      <c r="J23" s="16" t="s">
        <v>327</v>
      </c>
      <c r="K23" s="52">
        <v>5</v>
      </c>
      <c r="L23" s="10"/>
      <c r="M23" s="11"/>
      <c r="N23" s="11"/>
      <c r="O23" s="11"/>
      <c r="P23" s="11"/>
      <c r="Q23" s="11"/>
      <c r="R23" s="32"/>
    </row>
    <row r="24" spans="1:18" s="6" customFormat="1" ht="29.25" customHeight="1">
      <c r="A24" s="30">
        <v>17</v>
      </c>
      <c r="B24" s="18">
        <v>16</v>
      </c>
      <c r="C24" s="19" t="s">
        <v>164</v>
      </c>
      <c r="D24" s="19" t="s">
        <v>1057</v>
      </c>
      <c r="E24" s="18">
        <v>1979</v>
      </c>
      <c r="F24" s="19" t="s">
        <v>21</v>
      </c>
      <c r="G24" s="19" t="s">
        <v>165</v>
      </c>
      <c r="H24" s="19" t="s">
        <v>166</v>
      </c>
      <c r="I24" s="17">
        <v>1179000066</v>
      </c>
      <c r="J24" s="16" t="s">
        <v>394</v>
      </c>
      <c r="K24" s="52">
        <v>4.5</v>
      </c>
      <c r="L24" s="10"/>
      <c r="M24" s="13"/>
      <c r="N24" s="12"/>
      <c r="O24" s="12"/>
      <c r="P24" s="12"/>
      <c r="Q24" s="12"/>
      <c r="R24" s="32"/>
    </row>
    <row r="25" spans="1:18" s="6" customFormat="1" ht="29.25" customHeight="1">
      <c r="A25" s="30">
        <v>18</v>
      </c>
      <c r="B25" s="18">
        <v>398</v>
      </c>
      <c r="C25" s="19" t="s">
        <v>167</v>
      </c>
      <c r="D25" s="19" t="s">
        <v>1105</v>
      </c>
      <c r="E25" s="18">
        <v>1976</v>
      </c>
      <c r="F25" s="19" t="s">
        <v>21</v>
      </c>
      <c r="G25" s="19" t="s">
        <v>168</v>
      </c>
      <c r="H25" s="19" t="s">
        <v>81</v>
      </c>
      <c r="I25" s="17">
        <v>1176033068</v>
      </c>
      <c r="J25" s="16" t="s">
        <v>315</v>
      </c>
      <c r="K25" s="52">
        <v>5</v>
      </c>
      <c r="L25" s="10"/>
      <c r="M25" s="12"/>
      <c r="N25" s="12"/>
      <c r="O25" s="12"/>
      <c r="P25" s="12"/>
      <c r="Q25" s="12"/>
      <c r="R25" s="32"/>
    </row>
    <row r="26" spans="1:18" s="6" customFormat="1" ht="29.25" customHeight="1">
      <c r="A26" s="30">
        <v>19</v>
      </c>
      <c r="B26" s="18">
        <v>399</v>
      </c>
      <c r="C26" s="19" t="s">
        <v>169</v>
      </c>
      <c r="D26" s="19" t="s">
        <v>1158</v>
      </c>
      <c r="E26" s="18">
        <v>1975</v>
      </c>
      <c r="F26" s="19" t="s">
        <v>21</v>
      </c>
      <c r="G26" s="19" t="s">
        <v>80</v>
      </c>
      <c r="H26" s="19" t="s">
        <v>81</v>
      </c>
      <c r="I26" s="17">
        <v>1175032774</v>
      </c>
      <c r="J26" s="16" t="s">
        <v>315</v>
      </c>
      <c r="K26" s="52">
        <v>6</v>
      </c>
      <c r="L26" s="10"/>
      <c r="M26" s="12"/>
      <c r="N26" s="12"/>
      <c r="O26" s="12"/>
      <c r="P26" s="12"/>
      <c r="Q26" s="12"/>
      <c r="R26" s="32"/>
    </row>
    <row r="27" spans="1:18" s="7" customFormat="1" ht="23.25" customHeight="1">
      <c r="A27" s="30">
        <v>20</v>
      </c>
      <c r="B27" s="18">
        <v>400</v>
      </c>
      <c r="C27" s="19" t="s">
        <v>170</v>
      </c>
      <c r="D27" s="19" t="s">
        <v>1079</v>
      </c>
      <c r="E27" s="18">
        <v>1978</v>
      </c>
      <c r="F27" s="19" t="s">
        <v>21</v>
      </c>
      <c r="G27" s="19" t="s">
        <v>171</v>
      </c>
      <c r="H27" s="19" t="s">
        <v>81</v>
      </c>
      <c r="I27" s="15">
        <v>1178001577</v>
      </c>
      <c r="J27" s="16" t="s">
        <v>315</v>
      </c>
      <c r="K27" s="52">
        <v>6</v>
      </c>
      <c r="L27" s="10"/>
      <c r="M27" s="12"/>
      <c r="N27" s="12"/>
      <c r="O27" s="12"/>
      <c r="P27" s="12"/>
      <c r="Q27" s="12"/>
      <c r="R27" s="32"/>
    </row>
    <row r="28" spans="1:18" s="7" customFormat="1" ht="23.25" customHeight="1">
      <c r="A28" s="1"/>
      <c r="B28" s="2"/>
      <c r="C28" s="1"/>
      <c r="D28" s="1"/>
      <c r="E28" s="2"/>
      <c r="F28" s="3" t="s">
        <v>13</v>
      </c>
      <c r="G28" s="2"/>
      <c r="H28" s="2"/>
      <c r="I28" s="2"/>
      <c r="J28" s="2"/>
      <c r="L28" s="4"/>
      <c r="M28" s="4"/>
      <c r="N28" s="4" t="s">
        <v>14</v>
      </c>
      <c r="O28" s="4"/>
      <c r="P28" s="4"/>
      <c r="Q28" s="2"/>
      <c r="R28" s="2"/>
    </row>
    <row r="29" spans="1:18" s="7" customFormat="1" ht="23.25" customHeight="1">
      <c r="A29" s="1" t="s">
        <v>49</v>
      </c>
      <c r="B29" s="2"/>
      <c r="C29" s="1"/>
      <c r="D29" s="1"/>
      <c r="E29" s="2"/>
      <c r="F29" s="3"/>
      <c r="G29" s="2"/>
      <c r="H29" s="2"/>
      <c r="I29" s="2"/>
      <c r="J29" s="2"/>
      <c r="K29" s="4"/>
      <c r="L29" s="4"/>
      <c r="M29" s="4"/>
      <c r="N29" s="4"/>
      <c r="O29" s="4"/>
      <c r="P29" s="4"/>
      <c r="Q29" s="2"/>
      <c r="R29" s="2"/>
    </row>
    <row r="30" spans="1:18" s="7" customFormat="1" ht="23.25" customHeight="1">
      <c r="A30" s="1" t="s">
        <v>15</v>
      </c>
      <c r="B30" s="2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s="7" customFormat="1" ht="23.25" customHeight="1">
      <c r="A31" s="1" t="s">
        <v>16</v>
      </c>
      <c r="B31" s="2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s="8" customFormat="1" ht="24.75" customHeight="1">
      <c r="A32" s="1" t="s">
        <v>17</v>
      </c>
      <c r="B32" s="2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27.75" customHeight="1">
      <c r="A33" s="1" t="s">
        <v>18</v>
      </c>
      <c r="B33" s="8"/>
      <c r="C33" s="8"/>
      <c r="D33" s="8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</sheetData>
  <mergeCells count="17">
    <mergeCell ref="L5:L6"/>
    <mergeCell ref="D5:D6"/>
    <mergeCell ref="A1:R1"/>
    <mergeCell ref="A2:R2"/>
    <mergeCell ref="A3:R3"/>
    <mergeCell ref="M5:Q5"/>
    <mergeCell ref="R5:R6"/>
    <mergeCell ref="A5:A6"/>
    <mergeCell ref="B5:B6"/>
    <mergeCell ref="C5:C6"/>
    <mergeCell ref="E5:E6"/>
    <mergeCell ref="F5:F6"/>
    <mergeCell ref="G5:G6"/>
    <mergeCell ref="H5:H6"/>
    <mergeCell ref="I5:I6"/>
    <mergeCell ref="J5:J6"/>
    <mergeCell ref="K5:K6"/>
  </mergeCells>
  <conditionalFormatting sqref="C7:D7">
    <cfRule type="duplicateValues" dxfId="30" priority="1"/>
  </conditionalFormatting>
  <conditionalFormatting sqref="C24:D24">
    <cfRule type="duplicateValues" dxfId="29" priority="3"/>
  </conditionalFormatting>
  <conditionalFormatting sqref="C25:D27 C8:D23">
    <cfRule type="duplicateValues" dxfId="28" priority="2"/>
  </conditionalFormatting>
  <pageMargins left="0.118110236220472" right="0.118110236220472" top="0.21" bottom="0.15748031496063" header="0.2" footer="0.17"/>
  <pageSetup paperSize="9" scale="6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33"/>
  <sheetViews>
    <sheetView zoomScale="55" zoomScaleNormal="55" workbookViewId="0">
      <selection activeCell="A8" sqref="A8:J27"/>
    </sheetView>
  </sheetViews>
  <sheetFormatPr defaultColWidth="9" defaultRowHeight="15"/>
  <cols>
    <col min="1" max="1" width="14.85546875" style="5" customWidth="1"/>
    <col min="2" max="2" width="15.28515625" style="5" customWidth="1"/>
    <col min="3" max="4" width="34.85546875" style="5" customWidth="1"/>
    <col min="5" max="5" width="16.42578125" style="5" customWidth="1"/>
    <col min="6" max="6" width="15.28515625" style="5" customWidth="1"/>
    <col min="7" max="7" width="27.42578125" style="5" customWidth="1"/>
    <col min="8" max="8" width="15.7109375" style="5" customWidth="1"/>
    <col min="9" max="9" width="18.5703125" style="5" customWidth="1"/>
    <col min="10" max="10" width="56.28515625" style="5" bestFit="1" customWidth="1"/>
    <col min="11" max="11" width="15.85546875" style="5" customWidth="1"/>
    <col min="12" max="17" width="16.42578125" style="5" customWidth="1"/>
    <col min="18" max="18" width="20.42578125" style="5" customWidth="1"/>
    <col min="19" max="19" width="27.5703125" style="5" customWidth="1"/>
    <col min="20" max="16384" width="9" style="5"/>
  </cols>
  <sheetData>
    <row r="1" spans="1:19" s="9" customFormat="1" ht="43.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9" s="9" customFormat="1" ht="24" customHeight="1">
      <c r="A2" s="64" t="s">
        <v>288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9" s="9" customFormat="1" ht="35.25" customHeight="1">
      <c r="A3" s="64" t="s">
        <v>28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9" ht="12" customHeight="1"/>
    <row r="5" spans="1:19" ht="41.25" customHeight="1">
      <c r="A5" s="73" t="s">
        <v>1</v>
      </c>
      <c r="B5" s="73" t="s">
        <v>50</v>
      </c>
      <c r="C5" s="73" t="s">
        <v>51</v>
      </c>
      <c r="D5" s="65" t="s">
        <v>1153</v>
      </c>
      <c r="E5" s="73" t="s">
        <v>52</v>
      </c>
      <c r="F5" s="73" t="s">
        <v>53</v>
      </c>
      <c r="G5" s="73" t="s">
        <v>54</v>
      </c>
      <c r="H5" s="73" t="s">
        <v>55</v>
      </c>
      <c r="I5" s="74" t="s">
        <v>2</v>
      </c>
      <c r="J5" s="74" t="s">
        <v>3</v>
      </c>
      <c r="K5" s="73" t="s">
        <v>4</v>
      </c>
      <c r="L5" s="73" t="s">
        <v>5</v>
      </c>
      <c r="M5" s="73" t="s">
        <v>6</v>
      </c>
      <c r="N5" s="73"/>
      <c r="O5" s="73"/>
      <c r="P5" s="73"/>
      <c r="Q5" s="73"/>
      <c r="R5" s="65" t="s">
        <v>7</v>
      </c>
    </row>
    <row r="6" spans="1:19" ht="48" customHeight="1">
      <c r="A6" s="73"/>
      <c r="B6" s="73"/>
      <c r="C6" s="73"/>
      <c r="D6" s="66"/>
      <c r="E6" s="73"/>
      <c r="F6" s="73"/>
      <c r="G6" s="73"/>
      <c r="H6" s="73"/>
      <c r="I6" s="74"/>
      <c r="J6" s="74"/>
      <c r="K6" s="73"/>
      <c r="L6" s="73"/>
      <c r="M6" s="14" t="s">
        <v>8</v>
      </c>
      <c r="N6" s="14" t="s">
        <v>9</v>
      </c>
      <c r="O6" s="14" t="s">
        <v>10</v>
      </c>
      <c r="P6" s="14" t="s">
        <v>11</v>
      </c>
      <c r="Q6" s="14" t="s">
        <v>12</v>
      </c>
      <c r="R6" s="70"/>
    </row>
    <row r="7" spans="1:19" s="6" customFormat="1" ht="29.25" customHeight="1">
      <c r="A7" s="30" t="s">
        <v>660</v>
      </c>
      <c r="B7" s="18" t="s">
        <v>671</v>
      </c>
      <c r="C7" s="19" t="s">
        <v>672</v>
      </c>
      <c r="D7" s="19" t="s">
        <v>673</v>
      </c>
      <c r="E7" s="18" t="s">
        <v>686</v>
      </c>
      <c r="F7" s="19" t="s">
        <v>687</v>
      </c>
      <c r="G7" s="19" t="s">
        <v>688</v>
      </c>
      <c r="H7" s="19" t="s">
        <v>689</v>
      </c>
      <c r="I7" s="17" t="s">
        <v>690</v>
      </c>
      <c r="J7" s="16" t="s">
        <v>691</v>
      </c>
      <c r="K7" s="25" t="s">
        <v>692</v>
      </c>
      <c r="L7" s="10" t="s">
        <v>693</v>
      </c>
      <c r="M7" s="11" t="s">
        <v>694</v>
      </c>
      <c r="N7" s="11" t="s">
        <v>695</v>
      </c>
      <c r="O7" s="11" t="s">
        <v>696</v>
      </c>
      <c r="P7" s="11" t="s">
        <v>697</v>
      </c>
      <c r="Q7" s="11" t="s">
        <v>698</v>
      </c>
      <c r="R7" s="49" t="s">
        <v>699</v>
      </c>
      <c r="S7"/>
    </row>
    <row r="8" spans="1:19" s="6" customFormat="1" ht="29.25" customHeight="1">
      <c r="A8" s="30">
        <v>1</v>
      </c>
      <c r="B8" s="18">
        <v>401</v>
      </c>
      <c r="C8" s="19" t="s">
        <v>172</v>
      </c>
      <c r="D8" s="19" t="s">
        <v>1117</v>
      </c>
      <c r="E8" s="18">
        <v>1975</v>
      </c>
      <c r="F8" s="19" t="s">
        <v>21</v>
      </c>
      <c r="G8" s="19" t="s">
        <v>86</v>
      </c>
      <c r="H8" s="19" t="s">
        <v>81</v>
      </c>
      <c r="I8" s="17" t="str">
        <f>IF(ISBLANK(Merge21!T2), IF(ISBLANK(Merge21!U2), "", Merge21!U2),Merge21!T2&amp; IF(ISBLANK(Merge21!U2), "", "-"&amp;Merge21!U2))</f>
        <v>001174036478</v>
      </c>
      <c r="J8" s="16" t="str">
        <f>IF(ISBLANK(Merge21!S2),"",Merge21!S2)</f>
        <v>Giáo viên trung học cơ sở hạng II - V.07.04.31</v>
      </c>
      <c r="K8" s="25">
        <v>5</v>
      </c>
      <c r="L8" s="10"/>
      <c r="M8" s="11"/>
      <c r="N8" s="11"/>
      <c r="O8" s="11"/>
      <c r="P8" s="11"/>
      <c r="Q8" s="11"/>
      <c r="R8" s="49"/>
      <c r="S8"/>
    </row>
    <row r="9" spans="1:19" s="6" customFormat="1" ht="29.25" customHeight="1">
      <c r="A9" s="30">
        <v>2</v>
      </c>
      <c r="B9" s="18">
        <v>402</v>
      </c>
      <c r="C9" s="19" t="s">
        <v>173</v>
      </c>
      <c r="D9" s="19" t="s">
        <v>1159</v>
      </c>
      <c r="E9" s="18">
        <v>1976</v>
      </c>
      <c r="F9" s="19" t="s">
        <v>21</v>
      </c>
      <c r="G9" s="19" t="s">
        <v>86</v>
      </c>
      <c r="H9" s="19" t="s">
        <v>174</v>
      </c>
      <c r="I9" s="17" t="str">
        <f>IF(ISBLANK(Merge21!T3), IF(ISBLANK(Merge21!U3), "", Merge21!U3),Merge21!T3&amp; IF(ISBLANK(Merge21!U3), "", "-"&amp;Merge21!U3))</f>
        <v>001077036817</v>
      </c>
      <c r="J9" s="16" t="str">
        <f>IF(ISBLANK(Merge21!S3),"",Merge21!S3)</f>
        <v>Giáo viên trung học cơ sở hạng II - V.07.04.31</v>
      </c>
      <c r="K9" s="25">
        <v>5</v>
      </c>
      <c r="L9" s="10"/>
      <c r="M9" s="11"/>
      <c r="N9" s="11"/>
      <c r="O9" s="11"/>
      <c r="P9" s="11"/>
      <c r="Q9" s="11"/>
      <c r="R9" s="49"/>
      <c r="S9"/>
    </row>
    <row r="10" spans="1:19" s="6" customFormat="1" ht="29.25" customHeight="1">
      <c r="A10" s="30">
        <v>3</v>
      </c>
      <c r="B10" s="18">
        <v>403</v>
      </c>
      <c r="C10" s="19" t="s">
        <v>175</v>
      </c>
      <c r="D10" s="19" t="s">
        <v>1065</v>
      </c>
      <c r="E10" s="18">
        <v>1994</v>
      </c>
      <c r="F10" s="19" t="s">
        <v>21</v>
      </c>
      <c r="G10" s="19" t="s">
        <v>48</v>
      </c>
      <c r="H10" s="19" t="s">
        <v>100</v>
      </c>
      <c r="I10" s="17" t="str">
        <f>IF(ISBLANK(Merge21!T4), IF(ISBLANK(Merge21!U4), "", Merge21!U4),Merge21!T4&amp; IF(ISBLANK(Merge21!U4), "", "-"&amp;Merge21!U4))</f>
        <v>001175023937</v>
      </c>
      <c r="J10" s="16" t="str">
        <f>IF(ISBLANK(Merge21!S4),"",Merge21!S4)</f>
        <v>Giáo viên trung học cơ sở hạng II - V.07.04.31</v>
      </c>
      <c r="K10" s="25">
        <v>5.5</v>
      </c>
      <c r="L10" s="10"/>
      <c r="M10" s="12"/>
      <c r="N10" s="12"/>
      <c r="O10" s="12"/>
      <c r="P10" s="12"/>
      <c r="Q10" s="12"/>
      <c r="R10" s="50"/>
      <c r="S10"/>
    </row>
    <row r="11" spans="1:19" s="6" customFormat="1" ht="34.5" customHeight="1">
      <c r="A11" s="30">
        <v>4</v>
      </c>
      <c r="B11" s="18">
        <v>404</v>
      </c>
      <c r="C11" s="19" t="s">
        <v>176</v>
      </c>
      <c r="D11" s="19" t="s">
        <v>1160</v>
      </c>
      <c r="E11" s="18">
        <v>1979</v>
      </c>
      <c r="F11" s="19" t="s">
        <v>21</v>
      </c>
      <c r="G11" s="19" t="s">
        <v>177</v>
      </c>
      <c r="H11" s="19" t="s">
        <v>20</v>
      </c>
      <c r="I11" s="17" t="str">
        <f>IF(ISBLANK(Merge21!T5), IF(ISBLANK(Merge21!U5), "", Merge21!U5),Merge21!T5&amp; IF(ISBLANK(Merge21!U5), "", "-"&amp;Merge21!U5))</f>
        <v>001194006005</v>
      </c>
      <c r="J11" s="16" t="str">
        <f>IF(ISBLANK(Merge21!S5),"",Merge21!S5)</f>
        <v>Giáo viên trung học cơ sở hạng III - V.07.04.32</v>
      </c>
      <c r="K11" s="25">
        <v>5.5</v>
      </c>
      <c r="L11" s="10"/>
      <c r="M11" s="11"/>
      <c r="N11" s="11"/>
      <c r="O11" s="11"/>
      <c r="P11" s="11"/>
      <c r="Q11" s="11"/>
      <c r="R11" s="49"/>
      <c r="S11"/>
    </row>
    <row r="12" spans="1:19" s="6" customFormat="1" ht="29.25" customHeight="1">
      <c r="A12" s="30">
        <v>5</v>
      </c>
      <c r="B12" s="18">
        <v>405</v>
      </c>
      <c r="C12" s="19" t="s">
        <v>178</v>
      </c>
      <c r="D12" s="19" t="s">
        <v>1051</v>
      </c>
      <c r="E12" s="18">
        <v>1979</v>
      </c>
      <c r="F12" s="19" t="s">
        <v>21</v>
      </c>
      <c r="G12" s="19" t="s">
        <v>179</v>
      </c>
      <c r="H12" s="19" t="s">
        <v>29</v>
      </c>
      <c r="I12" s="17" t="str">
        <f>IF(ISBLANK(Merge21!T6), IF(ISBLANK(Merge21!U6), "", Merge21!U6),Merge21!T6&amp; IF(ISBLANK(Merge21!U6), "", "-"&amp;Merge21!U6))</f>
        <v>008179000026</v>
      </c>
      <c r="J12" s="16" t="str">
        <f>IF(ISBLANK(Merge21!S6),"",Merge21!S6)</f>
        <v>Giáo viên trung học cơ sở hạng II - V.07.04.31</v>
      </c>
      <c r="K12" s="25">
        <v>5.5</v>
      </c>
      <c r="L12" s="10"/>
      <c r="M12" s="13"/>
      <c r="N12" s="12"/>
      <c r="O12" s="12"/>
      <c r="P12" s="12"/>
      <c r="Q12" s="12"/>
      <c r="R12" s="49"/>
      <c r="S12"/>
    </row>
    <row r="13" spans="1:19" s="6" customFormat="1" ht="29.25" customHeight="1">
      <c r="A13" s="30">
        <v>6</v>
      </c>
      <c r="B13" s="18">
        <v>406</v>
      </c>
      <c r="C13" s="19" t="s">
        <v>180</v>
      </c>
      <c r="D13" s="19" t="s">
        <v>1047</v>
      </c>
      <c r="E13" s="18">
        <v>1979</v>
      </c>
      <c r="F13" s="19" t="s">
        <v>21</v>
      </c>
      <c r="G13" s="19" t="s">
        <v>42</v>
      </c>
      <c r="H13" s="19" t="s">
        <v>97</v>
      </c>
      <c r="I13" s="17" t="str">
        <f>IF(ISBLANK(Merge21!T7), IF(ISBLANK(Merge21!U7), "", Merge21!U7),Merge21!T7&amp; IF(ISBLANK(Merge21!U7), "", "-"&amp;Merge21!U7))</f>
        <v>001079024981</v>
      </c>
      <c r="J13" s="16" t="str">
        <f>IF(ISBLANK(Merge21!S7),"",Merge21!S7)</f>
        <v>Giáo viên trung học cơ sở hạng II - V.07.04.31</v>
      </c>
      <c r="K13" s="25">
        <v>5</v>
      </c>
      <c r="L13" s="10"/>
      <c r="M13" s="11"/>
      <c r="N13" s="11"/>
      <c r="O13" s="11"/>
      <c r="P13" s="11"/>
      <c r="Q13" s="11"/>
      <c r="R13" s="49"/>
      <c r="S13"/>
    </row>
    <row r="14" spans="1:19" s="6" customFormat="1" ht="29.25" customHeight="1">
      <c r="A14" s="30">
        <v>7</v>
      </c>
      <c r="B14" s="18">
        <v>407</v>
      </c>
      <c r="C14" s="19" t="s">
        <v>181</v>
      </c>
      <c r="D14" s="19" t="s">
        <v>1064</v>
      </c>
      <c r="E14" s="18">
        <v>1978</v>
      </c>
      <c r="F14" s="19" t="s">
        <v>21</v>
      </c>
      <c r="G14" s="19" t="s">
        <v>43</v>
      </c>
      <c r="H14" s="19" t="s">
        <v>20</v>
      </c>
      <c r="I14" s="17" t="str">
        <f>IF(ISBLANK(Merge21!T8), IF(ISBLANK(Merge21!U8), "", Merge21!U8),Merge21!T8&amp; IF(ISBLANK(Merge21!U8), "", "-"&amp;Merge21!U8))</f>
        <v>001184039143</v>
      </c>
      <c r="J14" s="16" t="str">
        <f>IF(ISBLANK(Merge21!S8),"",Merge21!S8)</f>
        <v>Giáo viên tiểu học hạng III – V.07.03.29</v>
      </c>
      <c r="K14" s="25">
        <v>5.5</v>
      </c>
      <c r="L14" s="10"/>
      <c r="M14" s="12"/>
      <c r="N14" s="12"/>
      <c r="O14" s="12"/>
      <c r="P14" s="12"/>
      <c r="Q14" s="12"/>
      <c r="R14" s="49"/>
      <c r="S14"/>
    </row>
    <row r="15" spans="1:19" s="6" customFormat="1" ht="32.25" customHeight="1">
      <c r="A15" s="30">
        <v>8</v>
      </c>
      <c r="B15" s="18">
        <v>408</v>
      </c>
      <c r="C15" s="19" t="s">
        <v>182</v>
      </c>
      <c r="D15" s="19" t="s">
        <v>1161</v>
      </c>
      <c r="E15" s="18">
        <v>1974</v>
      </c>
      <c r="F15" s="19" t="s">
        <v>21</v>
      </c>
      <c r="G15" s="19" t="s">
        <v>25</v>
      </c>
      <c r="H15" s="28" t="s">
        <v>59</v>
      </c>
      <c r="I15" s="15" t="str">
        <f>IF(ISBLANK(Merge21!T9), IF(ISBLANK(Merge21!U9), "", Merge21!U9),Merge21!T9&amp; IF(ISBLANK(Merge21!U9), "", "-"&amp;Merge21!U9))</f>
        <v>001177046284</v>
      </c>
      <c r="J15" s="16" t="str">
        <f>IF(ISBLANK(Merge21!S9),"",Merge21!S9)</f>
        <v>Giáo viên trung học phổ thông hạng III - V.07.05.15</v>
      </c>
      <c r="K15" s="25">
        <v>4.5</v>
      </c>
      <c r="L15" s="10"/>
      <c r="M15" s="12"/>
      <c r="N15" s="12"/>
      <c r="O15" s="12"/>
      <c r="P15" s="12"/>
      <c r="Q15" s="12"/>
      <c r="R15" s="32"/>
      <c r="S15"/>
    </row>
    <row r="16" spans="1:19" s="6" customFormat="1" ht="37.5" customHeight="1">
      <c r="A16" s="30">
        <v>9</v>
      </c>
      <c r="B16" s="18">
        <v>409</v>
      </c>
      <c r="C16" s="19" t="s">
        <v>183</v>
      </c>
      <c r="D16" s="19" t="s">
        <v>1116</v>
      </c>
      <c r="E16" s="18">
        <v>1977</v>
      </c>
      <c r="F16" s="19" t="s">
        <v>21</v>
      </c>
      <c r="G16" s="19" t="s">
        <v>184</v>
      </c>
      <c r="H16" s="19" t="s">
        <v>20</v>
      </c>
      <c r="I16" s="17" t="str">
        <f>IF(ISBLANK(Merge21!T10), IF(ISBLANK(Merge21!U10), "", Merge21!U10),Merge21!T10&amp; IF(ISBLANK(Merge21!U10), "", "-"&amp;Merge21!U10))</f>
        <v>001180044201</v>
      </c>
      <c r="J16" s="16" t="str">
        <f>IF(ISBLANK(Merge21!S10),"",Merge21!S10)</f>
        <v>Giáo viên tiểu học hạng III – V.07.03.29</v>
      </c>
      <c r="K16" s="25">
        <v>5.5</v>
      </c>
      <c r="L16" s="10"/>
      <c r="M16" s="13"/>
      <c r="N16" s="12"/>
      <c r="O16" s="12"/>
      <c r="P16" s="12"/>
      <c r="Q16" s="12"/>
      <c r="R16" s="49"/>
    </row>
    <row r="17" spans="1:18" s="6" customFormat="1" ht="29.25" customHeight="1">
      <c r="A17" s="30">
        <v>10</v>
      </c>
      <c r="B17" s="18">
        <v>410</v>
      </c>
      <c r="C17" s="19" t="s">
        <v>185</v>
      </c>
      <c r="D17" s="19" t="s">
        <v>1162</v>
      </c>
      <c r="E17" s="18">
        <v>1976</v>
      </c>
      <c r="F17" s="19" t="s">
        <v>21</v>
      </c>
      <c r="G17" s="19" t="s">
        <v>186</v>
      </c>
      <c r="H17" s="19" t="s">
        <v>187</v>
      </c>
      <c r="I17" s="17" t="str">
        <f>IF(ISBLANK(Merge21!T11), IF(ISBLANK(Merge21!U11), "", Merge21!U11),Merge21!T11&amp; IF(ISBLANK(Merge21!U11), "", "-"&amp;Merge21!U11))</f>
        <v>001178021999</v>
      </c>
      <c r="J17" s="16" t="str">
        <f>IF(ISBLANK(Merge21!S11),"",Merge21!S11)</f>
        <v>Giáo viên trung học cơ sở hạng II - V.07.04.31</v>
      </c>
      <c r="K17" s="25">
        <v>5.5</v>
      </c>
      <c r="L17" s="10"/>
      <c r="M17" s="13"/>
      <c r="N17" s="12"/>
      <c r="O17" s="12"/>
      <c r="P17" s="12"/>
      <c r="Q17" s="12"/>
      <c r="R17" s="49"/>
    </row>
    <row r="18" spans="1:18" s="6" customFormat="1" ht="39" customHeight="1">
      <c r="A18" s="30">
        <v>11</v>
      </c>
      <c r="B18" s="18">
        <v>411</v>
      </c>
      <c r="C18" s="19" t="s">
        <v>188</v>
      </c>
      <c r="D18" s="19" t="s">
        <v>1163</v>
      </c>
      <c r="E18" s="18">
        <v>1975</v>
      </c>
      <c r="F18" s="19" t="s">
        <v>21</v>
      </c>
      <c r="G18" s="19" t="s">
        <v>23</v>
      </c>
      <c r="H18" s="19" t="s">
        <v>20</v>
      </c>
      <c r="I18" s="17" t="str">
        <f>IF(ISBLANK(Merge21!T12), IF(ISBLANK(Merge21!U12), "", Merge21!U12),Merge21!T12&amp; IF(ISBLANK(Merge21!U12), "", "-"&amp;Merge21!U12))</f>
        <v>001194046711</v>
      </c>
      <c r="J18" s="16" t="str">
        <f>IF(ISBLANK(Merge21!S12),"",Merge21!S12)</f>
        <v>Giáo viên trung học cơ sở hạng II - V.07.04.31</v>
      </c>
      <c r="K18" s="25">
        <v>5.5</v>
      </c>
      <c r="L18" s="10"/>
      <c r="M18" s="11"/>
      <c r="N18" s="11"/>
      <c r="O18" s="11"/>
      <c r="P18" s="11"/>
      <c r="Q18" s="11"/>
      <c r="R18" s="49"/>
    </row>
    <row r="19" spans="1:18" s="6" customFormat="1" ht="29.25" customHeight="1">
      <c r="A19" s="30">
        <v>12</v>
      </c>
      <c r="B19" s="18">
        <v>412</v>
      </c>
      <c r="C19" s="20" t="s">
        <v>189</v>
      </c>
      <c r="D19" s="20" t="s">
        <v>1115</v>
      </c>
      <c r="E19" s="24">
        <v>1974</v>
      </c>
      <c r="F19" s="20" t="s">
        <v>21</v>
      </c>
      <c r="G19" s="20" t="s">
        <v>41</v>
      </c>
      <c r="H19" s="19" t="s">
        <v>20</v>
      </c>
      <c r="I19" s="17" t="str">
        <f>IF(ISBLANK(Merge21!T13), IF(ISBLANK(Merge21!U13), "", Merge21!U13),Merge21!T13&amp; IF(ISBLANK(Merge21!U13), "", "-"&amp;Merge21!U13))</f>
        <v>001196039783</v>
      </c>
      <c r="J19" s="16" t="str">
        <f>IF(ISBLANK(Merge21!S13),"",Merge21!S13)</f>
        <v>Giáo viên tiểu học hạng III – V.07.03.29</v>
      </c>
      <c r="K19" s="26">
        <v>4.5</v>
      </c>
      <c r="L19" s="10"/>
      <c r="M19" s="13"/>
      <c r="N19" s="12"/>
      <c r="O19" s="12"/>
      <c r="P19" s="12"/>
      <c r="Q19" s="12"/>
      <c r="R19" s="49"/>
    </row>
    <row r="20" spans="1:18" s="6" customFormat="1" ht="29.25" customHeight="1">
      <c r="A20" s="30">
        <v>13</v>
      </c>
      <c r="B20" s="18">
        <v>413</v>
      </c>
      <c r="C20" s="19" t="s">
        <v>190</v>
      </c>
      <c r="D20" s="19" t="s">
        <v>1085</v>
      </c>
      <c r="E20" s="18">
        <v>1989</v>
      </c>
      <c r="F20" s="19" t="s">
        <v>30</v>
      </c>
      <c r="G20" s="19" t="s">
        <v>191</v>
      </c>
      <c r="H20" s="19" t="s">
        <v>20</v>
      </c>
      <c r="I20" s="17" t="str">
        <f>IF(ISBLANK(Merge21!T14), IF(ISBLANK(Merge21!U14), "", Merge21!U14),Merge21!T14&amp; IF(ISBLANK(Merge21!U14), "", "-"&amp;Merge21!U14))</f>
        <v>001189011826</v>
      </c>
      <c r="J20" s="16" t="str">
        <f>IF(ISBLANK(Merge21!S14),"",Merge21!S14)</f>
        <v>Giáo viên trung học phổ thông hạng III - V.07.05.15</v>
      </c>
      <c r="K20" s="25">
        <v>5.5</v>
      </c>
      <c r="L20" s="10"/>
      <c r="M20" s="11"/>
      <c r="N20" s="11"/>
      <c r="O20" s="11"/>
      <c r="P20" s="11"/>
      <c r="Q20" s="11"/>
      <c r="R20" s="49"/>
    </row>
    <row r="21" spans="1:18" s="6" customFormat="1" ht="29.25" customHeight="1">
      <c r="A21" s="30">
        <v>14</v>
      </c>
      <c r="B21" s="18">
        <v>414</v>
      </c>
      <c r="C21" s="19" t="s">
        <v>192</v>
      </c>
      <c r="D21" s="19" t="s">
        <v>1164</v>
      </c>
      <c r="E21" s="18">
        <v>1978</v>
      </c>
      <c r="F21" s="19" t="s">
        <v>30</v>
      </c>
      <c r="G21" s="19" t="s">
        <v>191</v>
      </c>
      <c r="H21" s="19" t="s">
        <v>20</v>
      </c>
      <c r="I21" s="17">
        <v>1178002480</v>
      </c>
      <c r="J21" s="16" t="s">
        <v>327</v>
      </c>
      <c r="K21" s="25">
        <v>5.5</v>
      </c>
      <c r="L21" s="10"/>
      <c r="M21" s="11"/>
      <c r="N21" s="11"/>
      <c r="O21" s="11"/>
      <c r="P21" s="11"/>
      <c r="Q21" s="11"/>
      <c r="R21" s="49"/>
    </row>
    <row r="22" spans="1:18" s="6" customFormat="1" ht="29.25" customHeight="1">
      <c r="A22" s="30">
        <v>15</v>
      </c>
      <c r="B22" s="18">
        <v>415</v>
      </c>
      <c r="C22" s="19" t="s">
        <v>193</v>
      </c>
      <c r="D22" s="19" t="s">
        <v>1053</v>
      </c>
      <c r="E22" s="18">
        <v>1977</v>
      </c>
      <c r="F22" s="19" t="s">
        <v>30</v>
      </c>
      <c r="G22" s="19" t="s">
        <v>107</v>
      </c>
      <c r="H22" s="19" t="s">
        <v>100</v>
      </c>
      <c r="I22" s="17">
        <v>1184039143</v>
      </c>
      <c r="J22" s="16" t="s">
        <v>654</v>
      </c>
      <c r="K22" s="25">
        <v>5.5</v>
      </c>
      <c r="L22" s="10"/>
      <c r="M22" s="11"/>
      <c r="N22" s="11"/>
      <c r="O22" s="11"/>
      <c r="P22" s="11"/>
      <c r="Q22" s="11"/>
      <c r="R22" s="49"/>
    </row>
    <row r="23" spans="1:18" s="6" customFormat="1" ht="36" customHeight="1">
      <c r="A23" s="30">
        <v>16</v>
      </c>
      <c r="B23" s="18">
        <v>416</v>
      </c>
      <c r="C23" s="19" t="s">
        <v>194</v>
      </c>
      <c r="D23" s="19" t="s">
        <v>1118</v>
      </c>
      <c r="E23" s="18">
        <v>1976</v>
      </c>
      <c r="F23" s="19" t="s">
        <v>30</v>
      </c>
      <c r="G23" s="19" t="s">
        <v>107</v>
      </c>
      <c r="H23" s="19" t="s">
        <v>100</v>
      </c>
      <c r="I23" s="17">
        <v>27176011754</v>
      </c>
      <c r="J23" s="16" t="s">
        <v>327</v>
      </c>
      <c r="K23" s="25">
        <v>5.5</v>
      </c>
      <c r="L23" s="10"/>
      <c r="M23" s="11"/>
      <c r="N23" s="11"/>
      <c r="O23" s="11"/>
      <c r="P23" s="11"/>
      <c r="Q23" s="11"/>
      <c r="R23" s="49"/>
    </row>
    <row r="24" spans="1:18" s="6" customFormat="1" ht="29.25" customHeight="1">
      <c r="A24" s="30">
        <v>17</v>
      </c>
      <c r="B24" s="18">
        <v>417</v>
      </c>
      <c r="C24" s="19" t="s">
        <v>195</v>
      </c>
      <c r="D24" s="19" t="s">
        <v>1072</v>
      </c>
      <c r="E24" s="18">
        <v>1996</v>
      </c>
      <c r="F24" s="19" t="s">
        <v>19</v>
      </c>
      <c r="G24" s="19" t="s">
        <v>196</v>
      </c>
      <c r="H24" s="19" t="s">
        <v>91</v>
      </c>
      <c r="I24" s="17">
        <v>1196039783</v>
      </c>
      <c r="J24" s="16" t="s">
        <v>654</v>
      </c>
      <c r="K24" s="25">
        <v>5.5</v>
      </c>
      <c r="L24" s="10"/>
      <c r="M24" s="13"/>
      <c r="N24" s="12"/>
      <c r="O24" s="12"/>
      <c r="P24" s="12"/>
      <c r="Q24" s="12"/>
      <c r="R24" s="49"/>
    </row>
    <row r="25" spans="1:18" s="6" customFormat="1" ht="29.25" customHeight="1">
      <c r="A25" s="30">
        <v>18</v>
      </c>
      <c r="B25" s="18">
        <v>418</v>
      </c>
      <c r="C25" s="19" t="s">
        <v>197</v>
      </c>
      <c r="D25" s="19" t="s">
        <v>1165</v>
      </c>
      <c r="E25" s="18">
        <v>1993</v>
      </c>
      <c r="F25" s="19" t="s">
        <v>19</v>
      </c>
      <c r="G25" s="19" t="s">
        <v>198</v>
      </c>
      <c r="H25" s="19" t="s">
        <v>100</v>
      </c>
      <c r="I25" s="17">
        <v>1193046294</v>
      </c>
      <c r="J25" s="16" t="s">
        <v>654</v>
      </c>
      <c r="K25" s="26">
        <v>5</v>
      </c>
      <c r="L25" s="10"/>
      <c r="M25" s="12"/>
      <c r="N25" s="12"/>
      <c r="O25" s="12"/>
      <c r="P25" s="12"/>
      <c r="Q25" s="12"/>
      <c r="R25" s="49"/>
    </row>
    <row r="26" spans="1:18" s="6" customFormat="1" ht="29.25" customHeight="1">
      <c r="A26" s="30">
        <v>19</v>
      </c>
      <c r="B26" s="18">
        <v>419</v>
      </c>
      <c r="C26" s="19" t="s">
        <v>199</v>
      </c>
      <c r="D26" s="19" t="s">
        <v>1060</v>
      </c>
      <c r="E26" s="18">
        <v>1980</v>
      </c>
      <c r="F26" s="19" t="s">
        <v>19</v>
      </c>
      <c r="G26" s="19" t="s">
        <v>200</v>
      </c>
      <c r="H26" s="19" t="s">
        <v>91</v>
      </c>
      <c r="I26" s="17">
        <v>1180044201</v>
      </c>
      <c r="J26" s="16" t="s">
        <v>654</v>
      </c>
      <c r="K26" s="25">
        <v>5.5</v>
      </c>
      <c r="L26" s="10"/>
      <c r="M26" s="12"/>
      <c r="N26" s="12"/>
      <c r="O26" s="12"/>
      <c r="P26" s="12"/>
      <c r="Q26" s="12"/>
      <c r="R26" s="49"/>
    </row>
    <row r="27" spans="1:18" s="7" customFormat="1" ht="23.25" customHeight="1">
      <c r="A27" s="30">
        <v>20</v>
      </c>
      <c r="B27" s="18">
        <v>420</v>
      </c>
      <c r="C27" s="19" t="s">
        <v>201</v>
      </c>
      <c r="D27" s="19" t="s">
        <v>1166</v>
      </c>
      <c r="E27" s="18">
        <v>1979</v>
      </c>
      <c r="F27" s="19" t="s">
        <v>19</v>
      </c>
      <c r="G27" s="19" t="s">
        <v>196</v>
      </c>
      <c r="H27" s="19" t="s">
        <v>91</v>
      </c>
      <c r="I27" s="15">
        <v>1179003519</v>
      </c>
      <c r="J27" s="16" t="s">
        <v>377</v>
      </c>
      <c r="K27" s="25">
        <v>5.5</v>
      </c>
      <c r="L27" s="10"/>
      <c r="M27" s="12"/>
      <c r="N27" s="12"/>
      <c r="O27" s="12"/>
      <c r="P27" s="12"/>
      <c r="Q27" s="12"/>
      <c r="R27" s="49"/>
    </row>
    <row r="28" spans="1:18" s="7" customFormat="1" ht="23.25" customHeight="1">
      <c r="A28" s="1"/>
      <c r="B28" s="2"/>
      <c r="C28" s="1"/>
      <c r="D28" s="1"/>
      <c r="E28" s="2"/>
      <c r="F28" s="3" t="s">
        <v>13</v>
      </c>
      <c r="G28" s="2"/>
      <c r="H28" s="2"/>
      <c r="I28" s="2"/>
      <c r="J28" s="2"/>
      <c r="L28" s="4"/>
      <c r="M28" s="4"/>
      <c r="N28" s="4" t="s">
        <v>14</v>
      </c>
      <c r="O28" s="4"/>
      <c r="P28" s="4"/>
      <c r="Q28" s="2"/>
      <c r="R28" s="2"/>
    </row>
    <row r="29" spans="1:18" s="7" customFormat="1" ht="23.25" customHeight="1">
      <c r="A29" s="1" t="s">
        <v>49</v>
      </c>
      <c r="B29" s="2"/>
      <c r="C29" s="1"/>
      <c r="D29" s="1"/>
      <c r="E29" s="2"/>
      <c r="F29" s="3"/>
      <c r="G29" s="2"/>
      <c r="H29" s="2"/>
      <c r="I29" s="2"/>
      <c r="J29" s="2"/>
      <c r="K29" s="4"/>
      <c r="L29" s="4"/>
      <c r="M29" s="4"/>
      <c r="N29" s="4"/>
      <c r="O29" s="4"/>
      <c r="P29" s="4"/>
      <c r="Q29" s="2"/>
      <c r="R29" s="2"/>
    </row>
    <row r="30" spans="1:18" s="7" customFormat="1" ht="23.25" customHeight="1">
      <c r="A30" s="1" t="s">
        <v>15</v>
      </c>
      <c r="B30" s="2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s="7" customFormat="1" ht="23.25" customHeight="1">
      <c r="A31" s="1" t="s">
        <v>16</v>
      </c>
      <c r="B31" s="2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s="8" customFormat="1" ht="24.75" customHeight="1">
      <c r="A32" s="1" t="s">
        <v>17</v>
      </c>
      <c r="B32" s="2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27.75" customHeight="1">
      <c r="A33" s="1" t="s">
        <v>18</v>
      </c>
      <c r="B33" s="8"/>
      <c r="C33" s="8"/>
      <c r="D33" s="8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</sheetData>
  <autoFilter ref="S1:S33" xr:uid="{00000000-0009-0000-0000-000003000000}"/>
  <mergeCells count="17">
    <mergeCell ref="L5:L6"/>
    <mergeCell ref="D5:D6"/>
    <mergeCell ref="A1:R1"/>
    <mergeCell ref="A2:R2"/>
    <mergeCell ref="A3:R3"/>
    <mergeCell ref="M5:Q5"/>
    <mergeCell ref="R5:R6"/>
    <mergeCell ref="A5:A6"/>
    <mergeCell ref="B5:B6"/>
    <mergeCell ref="C5:C6"/>
    <mergeCell ref="E5:E6"/>
    <mergeCell ref="F5:F6"/>
    <mergeCell ref="G5:G6"/>
    <mergeCell ref="H5:H6"/>
    <mergeCell ref="I5:I6"/>
    <mergeCell ref="J5:J6"/>
    <mergeCell ref="K5:K6"/>
  </mergeCells>
  <conditionalFormatting sqref="C7:D7">
    <cfRule type="duplicateValues" dxfId="27" priority="1"/>
  </conditionalFormatting>
  <conditionalFormatting sqref="C8:D27">
    <cfRule type="duplicateValues" dxfId="26" priority="2"/>
  </conditionalFormatting>
  <pageMargins left="0.118110236220472" right="0.118110236220472" top="0.21" bottom="0.15748031496063" header="0.2" footer="0.17"/>
  <pageSetup paperSize="9" scale="6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3"/>
  <sheetViews>
    <sheetView zoomScale="55" zoomScaleNormal="55" workbookViewId="0">
      <selection activeCell="A8" sqref="A8:J27"/>
    </sheetView>
  </sheetViews>
  <sheetFormatPr defaultColWidth="9" defaultRowHeight="15"/>
  <cols>
    <col min="1" max="1" width="14.85546875" style="5" customWidth="1"/>
    <col min="2" max="2" width="15.28515625" style="5" customWidth="1"/>
    <col min="3" max="4" width="34.85546875" style="5" customWidth="1"/>
    <col min="5" max="5" width="16.42578125" style="5" customWidth="1"/>
    <col min="6" max="6" width="15.28515625" style="5" customWidth="1"/>
    <col min="7" max="7" width="27.42578125" style="5" customWidth="1"/>
    <col min="8" max="8" width="15.7109375" style="5" customWidth="1"/>
    <col min="9" max="9" width="23" style="5" customWidth="1"/>
    <col min="10" max="10" width="65" style="5" customWidth="1"/>
    <col min="11" max="11" width="15.85546875" style="5" customWidth="1"/>
    <col min="12" max="17" width="16.42578125" style="5" customWidth="1"/>
    <col min="18" max="18" width="20.42578125" style="5" customWidth="1"/>
    <col min="19" max="16384" width="9" style="5"/>
  </cols>
  <sheetData>
    <row r="1" spans="1:18" s="9" customFormat="1" ht="43.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s="9" customFormat="1" ht="24" customHeight="1">
      <c r="A2" s="64" t="s">
        <v>293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s="9" customFormat="1" ht="35.25" customHeight="1">
      <c r="A3" s="64" t="s">
        <v>28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12" customHeight="1"/>
    <row r="5" spans="1:18" ht="41.25" customHeight="1">
      <c r="A5" s="73" t="s">
        <v>1</v>
      </c>
      <c r="B5" s="73" t="s">
        <v>50</v>
      </c>
      <c r="C5" s="73" t="s">
        <v>51</v>
      </c>
      <c r="D5" s="65" t="s">
        <v>659</v>
      </c>
      <c r="E5" s="73" t="s">
        <v>52</v>
      </c>
      <c r="F5" s="73" t="s">
        <v>53</v>
      </c>
      <c r="G5" s="73" t="s">
        <v>54</v>
      </c>
      <c r="H5" s="73" t="s">
        <v>55</v>
      </c>
      <c r="I5" s="74" t="s">
        <v>2</v>
      </c>
      <c r="J5" s="74" t="s">
        <v>3</v>
      </c>
      <c r="K5" s="73" t="s">
        <v>4</v>
      </c>
      <c r="L5" s="73" t="s">
        <v>5</v>
      </c>
      <c r="M5" s="73" t="s">
        <v>6</v>
      </c>
      <c r="N5" s="73"/>
      <c r="O5" s="73"/>
      <c r="P5" s="73"/>
      <c r="Q5" s="73"/>
      <c r="R5" s="73" t="s">
        <v>7</v>
      </c>
    </row>
    <row r="6" spans="1:18" ht="48" customHeight="1">
      <c r="A6" s="73"/>
      <c r="B6" s="73"/>
      <c r="C6" s="73"/>
      <c r="D6" s="66"/>
      <c r="E6" s="73"/>
      <c r="F6" s="73"/>
      <c r="G6" s="73"/>
      <c r="H6" s="73"/>
      <c r="I6" s="74"/>
      <c r="J6" s="74"/>
      <c r="K6" s="73"/>
      <c r="L6" s="73"/>
      <c r="M6" s="14" t="s">
        <v>8</v>
      </c>
      <c r="N6" s="14" t="s">
        <v>9</v>
      </c>
      <c r="O6" s="14" t="s">
        <v>10</v>
      </c>
      <c r="P6" s="14" t="s">
        <v>11</v>
      </c>
      <c r="Q6" s="14" t="s">
        <v>12</v>
      </c>
      <c r="R6" s="73"/>
    </row>
    <row r="7" spans="1:18" s="6" customFormat="1" ht="29.25" customHeight="1">
      <c r="A7" s="30" t="s">
        <v>660</v>
      </c>
      <c r="B7" s="18" t="s">
        <v>671</v>
      </c>
      <c r="C7" s="19" t="s">
        <v>672</v>
      </c>
      <c r="D7" s="19" t="s">
        <v>673</v>
      </c>
      <c r="E7" s="18" t="s">
        <v>686</v>
      </c>
      <c r="F7" s="19" t="s">
        <v>687</v>
      </c>
      <c r="G7" s="19" t="s">
        <v>688</v>
      </c>
      <c r="H7" s="19" t="s">
        <v>689</v>
      </c>
      <c r="I7" s="17" t="s">
        <v>690</v>
      </c>
      <c r="J7" s="16" t="s">
        <v>691</v>
      </c>
      <c r="K7" s="18" t="s">
        <v>692</v>
      </c>
      <c r="L7" s="10" t="s">
        <v>693</v>
      </c>
      <c r="M7" s="11" t="s">
        <v>694</v>
      </c>
      <c r="N7" s="11" t="s">
        <v>695</v>
      </c>
      <c r="O7" s="11" t="s">
        <v>696</v>
      </c>
      <c r="P7" s="11" t="s">
        <v>697</v>
      </c>
      <c r="Q7" s="11" t="s">
        <v>698</v>
      </c>
      <c r="R7" s="32" t="s">
        <v>699</v>
      </c>
    </row>
    <row r="8" spans="1:18" s="6" customFormat="1" ht="29.25" customHeight="1">
      <c r="A8" s="30">
        <v>1</v>
      </c>
      <c r="B8" s="18">
        <v>421</v>
      </c>
      <c r="C8" s="19" t="s">
        <v>202</v>
      </c>
      <c r="D8" s="19" t="s">
        <v>1122</v>
      </c>
      <c r="E8" s="18">
        <v>1978</v>
      </c>
      <c r="F8" s="19" t="s">
        <v>19</v>
      </c>
      <c r="G8" s="19" t="s">
        <v>203</v>
      </c>
      <c r="H8" s="19" t="s">
        <v>59</v>
      </c>
      <c r="I8" s="17" t="str">
        <f>IF(ISBLANK(Merge22!T2), IF(ISBLANK(Merge22!U2), "", Merge22!U2),Merge22!T2&amp; IF(ISBLANK(Merge22!U2), "", "-"&amp;Merge22!U2))</f>
        <v>001194006005</v>
      </c>
      <c r="J8" s="16" t="str">
        <f>IF(ISBLANK(Merge22!S2),"",Merge22!S2)</f>
        <v>Giáo viên trung học cơ sở hạng III - V.07.04.32</v>
      </c>
      <c r="K8" s="52">
        <v>5</v>
      </c>
      <c r="L8" s="10"/>
      <c r="M8" s="11"/>
      <c r="N8" s="11"/>
      <c r="O8" s="11"/>
      <c r="P8" s="11"/>
      <c r="Q8" s="11"/>
      <c r="R8" s="32"/>
    </row>
    <row r="9" spans="1:18" s="6" customFormat="1" ht="29.25" customHeight="1">
      <c r="A9" s="30">
        <v>2</v>
      </c>
      <c r="B9" s="18">
        <v>422</v>
      </c>
      <c r="C9" s="19" t="s">
        <v>204</v>
      </c>
      <c r="D9" s="19" t="s">
        <v>1167</v>
      </c>
      <c r="E9" s="18">
        <v>1977</v>
      </c>
      <c r="F9" s="19" t="s">
        <v>19</v>
      </c>
      <c r="G9" s="19" t="s">
        <v>205</v>
      </c>
      <c r="H9" s="19" t="s">
        <v>20</v>
      </c>
      <c r="I9" s="17" t="str">
        <f>IF(ISBLANK(Merge22!T3), IF(ISBLANK(Merge22!U3), "", Merge22!U3),Merge22!T3&amp; IF(ISBLANK(Merge22!U3), "", "-"&amp;Merge22!U3))</f>
        <v>001176053581</v>
      </c>
      <c r="J9" s="16" t="str">
        <f>IF(ISBLANK(Merge22!S3),"",Merge22!S3)</f>
        <v>Giáo viên trung học phổ thông hạng III - V.07.05.15</v>
      </c>
      <c r="K9" s="52">
        <v>5.5</v>
      </c>
      <c r="L9" s="10"/>
      <c r="M9" s="11"/>
      <c r="N9" s="11"/>
      <c r="O9" s="11"/>
      <c r="P9" s="11"/>
      <c r="Q9" s="11"/>
      <c r="R9" s="32"/>
    </row>
    <row r="10" spans="1:18" s="6" customFormat="1" ht="29.25" customHeight="1">
      <c r="A10" s="30">
        <v>3</v>
      </c>
      <c r="B10" s="18">
        <v>423</v>
      </c>
      <c r="C10" s="19" t="s">
        <v>206</v>
      </c>
      <c r="D10" s="19" t="s">
        <v>1061</v>
      </c>
      <c r="E10" s="18">
        <v>1977</v>
      </c>
      <c r="F10" s="19" t="s">
        <v>19</v>
      </c>
      <c r="G10" s="19" t="s">
        <v>207</v>
      </c>
      <c r="H10" s="19" t="s">
        <v>187</v>
      </c>
      <c r="I10" s="17" t="str">
        <f>IF(ISBLANK(Merge22!T4), IF(ISBLANK(Merge22!U4), "", Merge22!U4),Merge22!T4&amp; IF(ISBLANK(Merge22!U4), "", "-"&amp;Merge22!U4))</f>
        <v>001180020741</v>
      </c>
      <c r="J10" s="16" t="str">
        <f>IF(ISBLANK(Merge22!S4),"",Merge22!S4)</f>
        <v>Giáo viên tiểu học hạng II – V.07.03.28</v>
      </c>
      <c r="K10" s="52">
        <v>5.5</v>
      </c>
      <c r="L10" s="10"/>
      <c r="M10" s="12"/>
      <c r="N10" s="12"/>
      <c r="O10" s="12"/>
      <c r="P10" s="12"/>
      <c r="Q10" s="12"/>
      <c r="R10" s="32"/>
    </row>
    <row r="11" spans="1:18" s="6" customFormat="1" ht="34.5" customHeight="1">
      <c r="A11" s="30">
        <v>4</v>
      </c>
      <c r="B11" s="18">
        <v>424</v>
      </c>
      <c r="C11" s="19" t="s">
        <v>208</v>
      </c>
      <c r="D11" s="19" t="s">
        <v>1045</v>
      </c>
      <c r="E11" s="18">
        <v>1977</v>
      </c>
      <c r="F11" s="19" t="s">
        <v>19</v>
      </c>
      <c r="G11" s="19" t="s">
        <v>209</v>
      </c>
      <c r="H11" s="19" t="s">
        <v>210</v>
      </c>
      <c r="I11" s="17" t="str">
        <f>IF(ISBLANK(Merge22!T5), IF(ISBLANK(Merge22!U5), "", Merge22!U5),Merge22!T5&amp; IF(ISBLANK(Merge22!U5), "", "-"&amp;Merge22!U5))</f>
        <v>001178013783</v>
      </c>
      <c r="J11" s="16" t="str">
        <f>IF(ISBLANK(Merge22!S5),"",Merge22!S5)</f>
        <v>Giáo viên tiểu học hạng III – V.07.03.29</v>
      </c>
      <c r="K11" s="52">
        <v>5.5</v>
      </c>
      <c r="L11" s="10"/>
      <c r="M11" s="11"/>
      <c r="N11" s="11"/>
      <c r="O11" s="11"/>
      <c r="P11" s="11"/>
      <c r="Q11" s="11"/>
      <c r="R11" s="32"/>
    </row>
    <row r="12" spans="1:18" s="6" customFormat="1" ht="29.25" customHeight="1">
      <c r="A12" s="30">
        <v>5</v>
      </c>
      <c r="B12" s="18">
        <v>425</v>
      </c>
      <c r="C12" s="19" t="s">
        <v>211</v>
      </c>
      <c r="D12" s="19" t="s">
        <v>1168</v>
      </c>
      <c r="E12" s="18">
        <v>1976</v>
      </c>
      <c r="F12" s="19" t="s">
        <v>19</v>
      </c>
      <c r="G12" s="19" t="s">
        <v>212</v>
      </c>
      <c r="H12" s="19" t="s">
        <v>20</v>
      </c>
      <c r="I12" s="17" t="str">
        <f>IF(ISBLANK(Merge22!T6), IF(ISBLANK(Merge22!U6), "", Merge22!U6),Merge22!T6&amp; IF(ISBLANK(Merge22!U6), "", "-"&amp;Merge22!U6))</f>
        <v>001196039158</v>
      </c>
      <c r="J12" s="16" t="str">
        <f>IF(ISBLANK(Merge22!S6),"",Merge22!S6)</f>
        <v>Giáo viên trung học cơ sở hạng III - V.07.04.32</v>
      </c>
      <c r="K12" s="52">
        <v>5.5</v>
      </c>
      <c r="L12" s="10"/>
      <c r="M12" s="13"/>
      <c r="N12" s="12"/>
      <c r="O12" s="12"/>
      <c r="P12" s="12"/>
      <c r="Q12" s="12"/>
      <c r="R12" s="32"/>
    </row>
    <row r="13" spans="1:18" s="6" customFormat="1" ht="29.25" customHeight="1">
      <c r="A13" s="30">
        <v>6</v>
      </c>
      <c r="B13" s="18">
        <v>426</v>
      </c>
      <c r="C13" s="19" t="s">
        <v>213</v>
      </c>
      <c r="D13" s="19" t="s">
        <v>1169</v>
      </c>
      <c r="E13" s="18">
        <v>1996</v>
      </c>
      <c r="F13" s="19" t="s">
        <v>21</v>
      </c>
      <c r="G13" s="19" t="s">
        <v>23</v>
      </c>
      <c r="H13" s="19" t="s">
        <v>20</v>
      </c>
      <c r="I13" s="17" t="str">
        <f>IF(ISBLANK(Merge22!T7), IF(ISBLANK(Merge22!U7), "", Merge22!U7),Merge22!T7&amp; IF(ISBLANK(Merge22!U7), "", "-"&amp;Merge22!U7))</f>
        <v>001177019255</v>
      </c>
      <c r="J13" s="16" t="str">
        <f>IF(ISBLANK(Merge22!S7),"",Merge22!S7)</f>
        <v>Giáo viên tiểu học hạng III - V07.03.08</v>
      </c>
      <c r="K13" s="54">
        <v>5.5</v>
      </c>
      <c r="L13" s="10"/>
      <c r="M13" s="11"/>
      <c r="N13" s="11"/>
      <c r="O13" s="11"/>
      <c r="P13" s="11"/>
      <c r="Q13" s="11"/>
      <c r="R13" s="32"/>
    </row>
    <row r="14" spans="1:18" s="6" customFormat="1" ht="29.25" customHeight="1">
      <c r="A14" s="30">
        <v>7</v>
      </c>
      <c r="B14" s="18">
        <v>427</v>
      </c>
      <c r="C14" s="19" t="s">
        <v>214</v>
      </c>
      <c r="D14" s="19" t="s">
        <v>1123</v>
      </c>
      <c r="E14" s="18">
        <v>1996</v>
      </c>
      <c r="F14" s="19" t="s">
        <v>21</v>
      </c>
      <c r="G14" s="19" t="s">
        <v>215</v>
      </c>
      <c r="H14" s="19" t="s">
        <v>20</v>
      </c>
      <c r="I14" s="17" t="str">
        <f>IF(ISBLANK(Merge22!T8), IF(ISBLANK(Merge22!U8), "", Merge22!U8),Merge22!T8&amp; IF(ISBLANK(Merge22!U8), "", "-"&amp;Merge22!U8))</f>
        <v>001177030526</v>
      </c>
      <c r="J14" s="16" t="str">
        <f>IF(ISBLANK(Merge22!S8),"",Merge22!S8)</f>
        <v>Giáo viên tiểu học hạng II – V.07.03.28</v>
      </c>
      <c r="K14" s="52">
        <v>5.5</v>
      </c>
      <c r="L14" s="18"/>
      <c r="M14" s="12"/>
      <c r="N14" s="12"/>
      <c r="O14" s="12"/>
      <c r="P14" s="12"/>
      <c r="Q14" s="12"/>
      <c r="R14" s="32"/>
    </row>
    <row r="15" spans="1:18" s="6" customFormat="1" ht="32.25" customHeight="1">
      <c r="A15" s="30">
        <v>8</v>
      </c>
      <c r="B15" s="18">
        <v>428</v>
      </c>
      <c r="C15" s="19" t="s">
        <v>194</v>
      </c>
      <c r="D15" s="19" t="s">
        <v>1118</v>
      </c>
      <c r="E15" s="18">
        <v>1994</v>
      </c>
      <c r="F15" s="19" t="s">
        <v>21</v>
      </c>
      <c r="G15" s="19" t="s">
        <v>177</v>
      </c>
      <c r="H15" s="19" t="s">
        <v>20</v>
      </c>
      <c r="I15" s="15" t="str">
        <f>IF(ISBLANK(Merge22!T9), IF(ISBLANK(Merge22!U9), "", Merge22!U9),Merge22!T9&amp; IF(ISBLANK(Merge22!U9), "", "-"&amp;Merge22!U9))</f>
        <v>001191025902</v>
      </c>
      <c r="J15" s="16" t="str">
        <f>IF(ISBLANK(Merge22!S9),"",Merge22!S9)</f>
        <v>Giáo viên tiểu học hạng III – V.07.03.29</v>
      </c>
      <c r="K15" s="52">
        <v>5.5</v>
      </c>
      <c r="L15" s="10"/>
      <c r="M15" s="12"/>
      <c r="N15" s="12"/>
      <c r="O15" s="12"/>
      <c r="P15" s="12"/>
      <c r="Q15" s="12"/>
      <c r="R15" s="32"/>
    </row>
    <row r="16" spans="1:18" s="6" customFormat="1" ht="37.5" customHeight="1">
      <c r="A16" s="30">
        <v>9</v>
      </c>
      <c r="B16" s="18">
        <v>429</v>
      </c>
      <c r="C16" s="19" t="s">
        <v>40</v>
      </c>
      <c r="D16" s="19" t="s">
        <v>1120</v>
      </c>
      <c r="E16" s="18">
        <v>1976</v>
      </c>
      <c r="F16" s="19" t="s">
        <v>30</v>
      </c>
      <c r="G16" s="19" t="s">
        <v>46</v>
      </c>
      <c r="H16" s="19" t="s">
        <v>59</v>
      </c>
      <c r="I16" s="17" t="str">
        <f>IF(ISBLANK(Merge22!T10), IF(ISBLANK(Merge22!U10), "", Merge22!U10),Merge22!T10&amp; IF(ISBLANK(Merge22!U10), "", "-"&amp;Merge22!U10))</f>
        <v>001182042023</v>
      </c>
      <c r="J16" s="16" t="str">
        <f>IF(ISBLANK(Merge22!S10),"",Merge22!S10)</f>
        <v>Giáo viên tiểu học hạng II – V.07.03.28</v>
      </c>
      <c r="K16" s="52">
        <v>5.5</v>
      </c>
      <c r="L16" s="10"/>
      <c r="M16" s="13"/>
      <c r="N16" s="12"/>
      <c r="O16" s="12"/>
      <c r="P16" s="12"/>
      <c r="Q16" s="12"/>
      <c r="R16" s="32"/>
    </row>
    <row r="17" spans="1:18" s="6" customFormat="1" ht="29.25" customHeight="1">
      <c r="A17" s="30">
        <v>10</v>
      </c>
      <c r="B17" s="18">
        <v>430</v>
      </c>
      <c r="C17" s="19" t="s">
        <v>216</v>
      </c>
      <c r="D17" s="19" t="s">
        <v>1170</v>
      </c>
      <c r="E17" s="18">
        <v>1978</v>
      </c>
      <c r="F17" s="19" t="s">
        <v>30</v>
      </c>
      <c r="G17" s="19" t="s">
        <v>46</v>
      </c>
      <c r="H17" s="19" t="s">
        <v>59</v>
      </c>
      <c r="I17" s="17">
        <v>1184057507</v>
      </c>
      <c r="J17" s="16" t="s">
        <v>315</v>
      </c>
      <c r="K17" s="52">
        <v>5.5</v>
      </c>
      <c r="L17" s="10"/>
      <c r="M17" s="13"/>
      <c r="N17" s="12"/>
      <c r="O17" s="12"/>
      <c r="P17" s="12"/>
      <c r="Q17" s="12"/>
      <c r="R17" s="32"/>
    </row>
    <row r="18" spans="1:18" s="6" customFormat="1" ht="39" customHeight="1">
      <c r="A18" s="30">
        <v>11</v>
      </c>
      <c r="B18" s="18">
        <v>431</v>
      </c>
      <c r="C18" s="19" t="s">
        <v>217</v>
      </c>
      <c r="D18" s="19" t="s">
        <v>1171</v>
      </c>
      <c r="E18" s="18">
        <v>1984</v>
      </c>
      <c r="F18" s="19" t="s">
        <v>30</v>
      </c>
      <c r="G18" s="19" t="s">
        <v>45</v>
      </c>
      <c r="H18" s="19" t="s">
        <v>187</v>
      </c>
      <c r="I18" s="17">
        <v>1184006475</v>
      </c>
      <c r="J18" s="16" t="s">
        <v>327</v>
      </c>
      <c r="K18" s="52">
        <v>5.5</v>
      </c>
      <c r="L18" s="10"/>
      <c r="M18" s="11"/>
      <c r="N18" s="11"/>
      <c r="O18" s="11"/>
      <c r="P18" s="11"/>
      <c r="Q18" s="11"/>
      <c r="R18" s="32"/>
    </row>
    <row r="19" spans="1:18" s="6" customFormat="1" ht="29.25" customHeight="1">
      <c r="A19" s="30">
        <v>12</v>
      </c>
      <c r="B19" s="18">
        <v>432</v>
      </c>
      <c r="C19" s="19" t="s">
        <v>218</v>
      </c>
      <c r="D19" s="19" t="s">
        <v>1063</v>
      </c>
      <c r="E19" s="18">
        <v>1982</v>
      </c>
      <c r="F19" s="19" t="s">
        <v>19</v>
      </c>
      <c r="G19" s="19" t="s">
        <v>219</v>
      </c>
      <c r="H19" s="19" t="s">
        <v>121</v>
      </c>
      <c r="I19" s="17">
        <v>1182042023</v>
      </c>
      <c r="J19" s="16" t="s">
        <v>377</v>
      </c>
      <c r="K19" s="52">
        <v>5.5</v>
      </c>
      <c r="L19" s="10"/>
      <c r="M19" s="13"/>
      <c r="N19" s="12"/>
      <c r="O19" s="12"/>
      <c r="P19" s="12"/>
      <c r="Q19" s="12"/>
      <c r="R19" s="32"/>
    </row>
    <row r="20" spans="1:18" s="6" customFormat="1" ht="29.25" customHeight="1">
      <c r="A20" s="30">
        <v>13</v>
      </c>
      <c r="B20" s="18">
        <v>433</v>
      </c>
      <c r="C20" s="19" t="s">
        <v>220</v>
      </c>
      <c r="D20" s="19" t="s">
        <v>1172</v>
      </c>
      <c r="E20" s="18">
        <v>1985</v>
      </c>
      <c r="F20" s="19" t="s">
        <v>19</v>
      </c>
      <c r="G20" s="19" t="s">
        <v>221</v>
      </c>
      <c r="H20" s="19" t="s">
        <v>39</v>
      </c>
      <c r="I20" s="17">
        <v>1185019297</v>
      </c>
      <c r="J20" s="16" t="s">
        <v>377</v>
      </c>
      <c r="K20" s="52">
        <v>5.5</v>
      </c>
      <c r="L20" s="10"/>
      <c r="M20" s="11"/>
      <c r="N20" s="11"/>
      <c r="O20" s="11"/>
      <c r="P20" s="11"/>
      <c r="Q20" s="11"/>
      <c r="R20" s="32"/>
    </row>
    <row r="21" spans="1:18" s="6" customFormat="1" ht="29.25" customHeight="1">
      <c r="A21" s="30">
        <v>14</v>
      </c>
      <c r="B21" s="18">
        <v>603</v>
      </c>
      <c r="C21" s="19" t="s">
        <v>222</v>
      </c>
      <c r="D21" s="19" t="s">
        <v>1173</v>
      </c>
      <c r="E21" s="18">
        <v>1977</v>
      </c>
      <c r="F21" s="19" t="s">
        <v>19</v>
      </c>
      <c r="G21" s="19" t="s">
        <v>223</v>
      </c>
      <c r="H21" s="28" t="s">
        <v>294</v>
      </c>
      <c r="I21" s="17">
        <v>1177010105</v>
      </c>
      <c r="J21" s="16" t="s">
        <v>377</v>
      </c>
      <c r="K21" s="52">
        <v>5.5</v>
      </c>
      <c r="L21" s="10"/>
      <c r="M21" s="11"/>
      <c r="N21" s="11"/>
      <c r="O21" s="11"/>
      <c r="P21" s="11"/>
      <c r="Q21" s="11"/>
      <c r="R21" s="32"/>
    </row>
    <row r="22" spans="1:18" s="6" customFormat="1" ht="29.25" customHeight="1">
      <c r="A22" s="30">
        <v>15</v>
      </c>
      <c r="B22" s="18">
        <v>481</v>
      </c>
      <c r="C22" s="19" t="s">
        <v>224</v>
      </c>
      <c r="D22" s="19" t="s">
        <v>1174</v>
      </c>
      <c r="E22" s="18">
        <v>1983</v>
      </c>
      <c r="F22" s="19" t="s">
        <v>30</v>
      </c>
      <c r="G22" s="19" t="s">
        <v>31</v>
      </c>
      <c r="H22" s="19" t="s">
        <v>225</v>
      </c>
      <c r="I22" s="17">
        <v>1083006421</v>
      </c>
      <c r="J22" s="16" t="s">
        <v>327</v>
      </c>
      <c r="K22" s="52">
        <v>5.5</v>
      </c>
      <c r="L22" s="10"/>
      <c r="M22" s="11"/>
      <c r="N22" s="11"/>
      <c r="O22" s="11"/>
      <c r="P22" s="11"/>
      <c r="Q22" s="11"/>
      <c r="R22" s="32"/>
    </row>
    <row r="23" spans="1:18" s="6" customFormat="1" ht="36" customHeight="1">
      <c r="A23" s="30">
        <v>16</v>
      </c>
      <c r="B23" s="18">
        <v>436</v>
      </c>
      <c r="C23" s="19" t="s">
        <v>226</v>
      </c>
      <c r="D23" s="19" t="s">
        <v>1175</v>
      </c>
      <c r="E23" s="18">
        <v>1982</v>
      </c>
      <c r="F23" s="19" t="s">
        <v>19</v>
      </c>
      <c r="G23" s="19" t="s">
        <v>227</v>
      </c>
      <c r="H23" s="19" t="s">
        <v>71</v>
      </c>
      <c r="I23" s="17">
        <v>35182000293</v>
      </c>
      <c r="J23" s="16" t="s">
        <v>377</v>
      </c>
      <c r="K23" s="52">
        <v>5.5</v>
      </c>
      <c r="L23" s="10"/>
      <c r="M23" s="11"/>
      <c r="N23" s="11"/>
      <c r="O23" s="11"/>
      <c r="P23" s="11"/>
      <c r="Q23" s="11"/>
      <c r="R23" s="32"/>
    </row>
    <row r="24" spans="1:18" s="6" customFormat="1" ht="29.25" customHeight="1">
      <c r="A24" s="30">
        <v>17</v>
      </c>
      <c r="B24" s="18">
        <v>437</v>
      </c>
      <c r="C24" s="19" t="s">
        <v>228</v>
      </c>
      <c r="D24" s="19" t="s">
        <v>1176</v>
      </c>
      <c r="E24" s="18">
        <v>1987</v>
      </c>
      <c r="F24" s="19" t="s">
        <v>19</v>
      </c>
      <c r="G24" s="19" t="s">
        <v>229</v>
      </c>
      <c r="H24" s="19" t="s">
        <v>71</v>
      </c>
      <c r="I24" s="17">
        <v>1187022144</v>
      </c>
      <c r="J24" s="16" t="s">
        <v>654</v>
      </c>
      <c r="K24" s="52">
        <v>5.5</v>
      </c>
      <c r="L24" s="18"/>
      <c r="M24" s="13"/>
      <c r="N24" s="12"/>
      <c r="O24" s="12"/>
      <c r="P24" s="12"/>
      <c r="Q24" s="12"/>
      <c r="R24" s="32"/>
    </row>
    <row r="25" spans="1:18" s="6" customFormat="1" ht="29.25" customHeight="1">
      <c r="A25" s="30">
        <v>18</v>
      </c>
      <c r="B25" s="18">
        <v>438</v>
      </c>
      <c r="C25" s="19" t="s">
        <v>230</v>
      </c>
      <c r="D25" s="19" t="s">
        <v>1177</v>
      </c>
      <c r="E25" s="18">
        <v>1980</v>
      </c>
      <c r="F25" s="19" t="s">
        <v>21</v>
      </c>
      <c r="G25" s="19" t="s">
        <v>34</v>
      </c>
      <c r="H25" s="19" t="s">
        <v>231</v>
      </c>
      <c r="I25" s="17" t="str">
        <f>IF(ISBLANK(Merge22!T19), IF(ISBLANK(Merge22!U19), "", Merge22!U19),Merge22!T19&amp; IF(ISBLANK(Merge22!U19), "", "-"&amp;Merge22!U19))</f>
        <v/>
      </c>
      <c r="J25" s="16" t="str">
        <f>IF(ISBLANK(Merge22!S19),"",Merge22!S19)</f>
        <v/>
      </c>
      <c r="K25" s="52">
        <v>5.5</v>
      </c>
      <c r="L25" s="10"/>
      <c r="M25" s="12"/>
      <c r="N25" s="12"/>
      <c r="O25" s="12"/>
      <c r="P25" s="12"/>
      <c r="Q25" s="12"/>
      <c r="R25" s="32"/>
    </row>
    <row r="26" spans="1:18" s="6" customFormat="1" ht="29.25" customHeight="1">
      <c r="A26" s="30">
        <v>19</v>
      </c>
      <c r="B26" s="18">
        <v>439</v>
      </c>
      <c r="C26" s="19" t="s">
        <v>232</v>
      </c>
      <c r="D26" s="19" t="s">
        <v>1178</v>
      </c>
      <c r="E26" s="18">
        <v>1975</v>
      </c>
      <c r="F26" s="19" t="s">
        <v>21</v>
      </c>
      <c r="G26" s="19" t="s">
        <v>62</v>
      </c>
      <c r="H26" s="19" t="s">
        <v>61</v>
      </c>
      <c r="I26" s="17" t="str">
        <f>IF(ISBLANK(Merge22!T20), IF(ISBLANK(Merge22!U20), "", Merge22!U20),Merge22!T20&amp; IF(ISBLANK(Merge22!U20), "", "-"&amp;Merge22!U20))</f>
        <v/>
      </c>
      <c r="J26" s="16" t="str">
        <f>IF(ISBLANK(Merge22!S20),"",Merge22!S20)</f>
        <v/>
      </c>
      <c r="K26" s="52">
        <v>5.5</v>
      </c>
      <c r="L26" s="18"/>
      <c r="M26" s="12"/>
      <c r="N26" s="12"/>
      <c r="O26" s="12"/>
      <c r="P26" s="12"/>
      <c r="Q26" s="12"/>
      <c r="R26" s="32"/>
    </row>
    <row r="27" spans="1:18" s="7" customFormat="1" ht="23.25" customHeight="1">
      <c r="A27" s="30">
        <v>20</v>
      </c>
      <c r="B27" s="18">
        <v>440</v>
      </c>
      <c r="C27" s="19" t="s">
        <v>233</v>
      </c>
      <c r="D27" s="19" t="s">
        <v>1121</v>
      </c>
      <c r="E27" s="18">
        <v>1980</v>
      </c>
      <c r="F27" s="19" t="s">
        <v>19</v>
      </c>
      <c r="G27" s="19" t="s">
        <v>234</v>
      </c>
      <c r="H27" s="19" t="s">
        <v>121</v>
      </c>
      <c r="I27" s="15">
        <v>1180020741</v>
      </c>
      <c r="J27" s="16" t="s">
        <v>377</v>
      </c>
      <c r="K27" s="52">
        <v>5</v>
      </c>
      <c r="L27" s="10"/>
      <c r="M27" s="12"/>
      <c r="N27" s="12"/>
      <c r="O27" s="12"/>
      <c r="P27" s="12"/>
      <c r="Q27" s="12"/>
      <c r="R27" s="32"/>
    </row>
    <row r="28" spans="1:18" s="7" customFormat="1" ht="23.25" customHeight="1">
      <c r="A28" s="1"/>
      <c r="B28" s="2"/>
      <c r="C28" s="1"/>
      <c r="D28" s="1"/>
      <c r="E28" s="2"/>
      <c r="F28" s="3" t="s">
        <v>13</v>
      </c>
      <c r="G28" s="2"/>
      <c r="H28" s="2"/>
      <c r="I28" s="2"/>
      <c r="J28" s="2"/>
      <c r="L28" s="4"/>
      <c r="M28" s="4"/>
      <c r="N28" s="4" t="s">
        <v>14</v>
      </c>
      <c r="O28" s="4"/>
      <c r="P28" s="4"/>
      <c r="Q28" s="2"/>
      <c r="R28" s="2"/>
    </row>
    <row r="29" spans="1:18" s="7" customFormat="1" ht="23.25" customHeight="1">
      <c r="A29" s="1" t="s">
        <v>49</v>
      </c>
      <c r="B29" s="2"/>
      <c r="C29" s="1"/>
      <c r="D29" s="1"/>
      <c r="E29" s="2"/>
      <c r="F29" s="3"/>
      <c r="G29" s="2"/>
      <c r="H29" s="2"/>
      <c r="I29" s="2"/>
      <c r="J29" s="2"/>
      <c r="K29" s="4"/>
      <c r="L29" s="4"/>
      <c r="M29" s="4"/>
      <c r="N29" s="4"/>
      <c r="O29" s="4"/>
      <c r="P29" s="4"/>
      <c r="Q29" s="2"/>
      <c r="R29" s="2"/>
    </row>
    <row r="30" spans="1:18" s="7" customFormat="1" ht="23.25" customHeight="1">
      <c r="A30" s="1" t="s">
        <v>15</v>
      </c>
      <c r="B30" s="2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s="7" customFormat="1" ht="23.25" customHeight="1">
      <c r="A31" s="1" t="s">
        <v>16</v>
      </c>
      <c r="B31" s="2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s="8" customFormat="1" ht="24.75" customHeight="1">
      <c r="A32" s="1" t="s">
        <v>17</v>
      </c>
      <c r="B32" s="2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27.75" customHeight="1">
      <c r="A33" s="1" t="s">
        <v>18</v>
      </c>
      <c r="B33" s="8"/>
      <c r="C33" s="8"/>
      <c r="D33" s="8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</sheetData>
  <mergeCells count="17">
    <mergeCell ref="L5:L6"/>
    <mergeCell ref="D5:D6"/>
    <mergeCell ref="A1:R1"/>
    <mergeCell ref="A2:R2"/>
    <mergeCell ref="A3:R3"/>
    <mergeCell ref="M5:Q5"/>
    <mergeCell ref="R5:R6"/>
    <mergeCell ref="A5:A6"/>
    <mergeCell ref="B5:B6"/>
    <mergeCell ref="C5:C6"/>
    <mergeCell ref="E5:E6"/>
    <mergeCell ref="F5:F6"/>
    <mergeCell ref="G5:G6"/>
    <mergeCell ref="H5:H6"/>
    <mergeCell ref="I5:I6"/>
    <mergeCell ref="J5:J6"/>
    <mergeCell ref="K5:K6"/>
  </mergeCells>
  <conditionalFormatting sqref="C7:D7">
    <cfRule type="duplicateValues" dxfId="25" priority="1"/>
  </conditionalFormatting>
  <conditionalFormatting sqref="C8:D20 C23:D27">
    <cfRule type="duplicateValues" dxfId="24" priority="6"/>
  </conditionalFormatting>
  <conditionalFormatting sqref="C21:D21">
    <cfRule type="duplicateValues" dxfId="23" priority="2"/>
    <cfRule type="duplicateValues" dxfId="22" priority="3"/>
    <cfRule type="duplicateValues" dxfId="21" priority="4"/>
  </conditionalFormatting>
  <conditionalFormatting sqref="C22:D22">
    <cfRule type="duplicateValues" dxfId="20" priority="5"/>
  </conditionalFormatting>
  <pageMargins left="0.118110236220472" right="0.118110236220472" top="0.21" bottom="0.15748031496063" header="0.2" footer="0.17"/>
  <pageSetup paperSize="9" scale="6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3"/>
  <sheetViews>
    <sheetView zoomScale="55" zoomScaleNormal="55" workbookViewId="0">
      <selection activeCell="A8" sqref="A8:J27"/>
    </sheetView>
  </sheetViews>
  <sheetFormatPr defaultColWidth="9" defaultRowHeight="15"/>
  <cols>
    <col min="1" max="1" width="14.85546875" style="5" customWidth="1"/>
    <col min="2" max="2" width="15.28515625" style="5" customWidth="1"/>
    <col min="3" max="4" width="34.85546875" style="5" customWidth="1"/>
    <col min="5" max="5" width="16.42578125" style="5" customWidth="1"/>
    <col min="6" max="6" width="15.28515625" style="5" customWidth="1"/>
    <col min="7" max="7" width="27.42578125" style="5" customWidth="1"/>
    <col min="8" max="8" width="15.7109375" style="5" customWidth="1"/>
    <col min="9" max="9" width="18.5703125" style="5" customWidth="1"/>
    <col min="10" max="10" width="56.28515625" style="5" bestFit="1" customWidth="1"/>
    <col min="11" max="11" width="15.85546875" style="5" customWidth="1"/>
    <col min="12" max="17" width="16.42578125" style="5" customWidth="1"/>
    <col min="18" max="18" width="20.42578125" style="5" customWidth="1"/>
    <col min="19" max="16384" width="9" style="5"/>
  </cols>
  <sheetData>
    <row r="1" spans="1:18" s="9" customFormat="1" ht="43.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s="9" customFormat="1" ht="24" customHeight="1">
      <c r="A2" s="64" t="s">
        <v>292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s="9" customFormat="1" ht="35.25" customHeight="1">
      <c r="A3" s="64" t="s">
        <v>28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12" customHeight="1"/>
    <row r="5" spans="1:18" ht="41.25" customHeight="1">
      <c r="A5" s="73" t="s">
        <v>1</v>
      </c>
      <c r="B5" s="73" t="s">
        <v>50</v>
      </c>
      <c r="C5" s="73" t="s">
        <v>51</v>
      </c>
      <c r="D5" s="65" t="s">
        <v>1153</v>
      </c>
      <c r="E5" s="73" t="s">
        <v>52</v>
      </c>
      <c r="F5" s="73" t="s">
        <v>53</v>
      </c>
      <c r="G5" s="73" t="s">
        <v>54</v>
      </c>
      <c r="H5" s="73" t="s">
        <v>55</v>
      </c>
      <c r="I5" s="74" t="s">
        <v>2</v>
      </c>
      <c r="J5" s="74" t="s">
        <v>3</v>
      </c>
      <c r="K5" s="73" t="s">
        <v>4</v>
      </c>
      <c r="L5" s="73" t="s">
        <v>5</v>
      </c>
      <c r="M5" s="73" t="s">
        <v>6</v>
      </c>
      <c r="N5" s="73"/>
      <c r="O5" s="73"/>
      <c r="P5" s="73"/>
      <c r="Q5" s="73"/>
      <c r="R5" s="73" t="s">
        <v>7</v>
      </c>
    </row>
    <row r="6" spans="1:18" ht="48" customHeight="1">
      <c r="A6" s="73"/>
      <c r="B6" s="73"/>
      <c r="C6" s="73"/>
      <c r="D6" s="66"/>
      <c r="E6" s="73"/>
      <c r="F6" s="73"/>
      <c r="G6" s="73"/>
      <c r="H6" s="73"/>
      <c r="I6" s="74"/>
      <c r="J6" s="74"/>
      <c r="K6" s="73"/>
      <c r="L6" s="73"/>
      <c r="M6" s="14" t="s">
        <v>8</v>
      </c>
      <c r="N6" s="14" t="s">
        <v>9</v>
      </c>
      <c r="O6" s="14" t="s">
        <v>10</v>
      </c>
      <c r="P6" s="14" t="s">
        <v>11</v>
      </c>
      <c r="Q6" s="14" t="s">
        <v>12</v>
      </c>
      <c r="R6" s="73"/>
    </row>
    <row r="7" spans="1:18" s="6" customFormat="1" ht="29.25" customHeight="1">
      <c r="A7" s="30" t="s">
        <v>660</v>
      </c>
      <c r="B7" s="18" t="s">
        <v>671</v>
      </c>
      <c r="C7" s="19" t="s">
        <v>672</v>
      </c>
      <c r="D7" s="19" t="s">
        <v>673</v>
      </c>
      <c r="E7" s="18" t="s">
        <v>686</v>
      </c>
      <c r="F7" s="19" t="s">
        <v>687</v>
      </c>
      <c r="G7" s="19" t="s">
        <v>688</v>
      </c>
      <c r="H7" s="19" t="s">
        <v>689</v>
      </c>
      <c r="I7" s="17" t="s">
        <v>690</v>
      </c>
      <c r="J7" s="16" t="s">
        <v>691</v>
      </c>
      <c r="K7" s="25" t="s">
        <v>692</v>
      </c>
      <c r="L7" s="10" t="s">
        <v>693</v>
      </c>
      <c r="M7" s="11" t="s">
        <v>694</v>
      </c>
      <c r="N7" s="11" t="s">
        <v>695</v>
      </c>
      <c r="O7" s="11" t="s">
        <v>696</v>
      </c>
      <c r="P7" s="11" t="s">
        <v>697</v>
      </c>
      <c r="Q7" s="11" t="s">
        <v>698</v>
      </c>
      <c r="R7" s="32" t="s">
        <v>699</v>
      </c>
    </row>
    <row r="8" spans="1:18" s="6" customFormat="1" ht="29.25" customHeight="1">
      <c r="A8" s="30">
        <v>1</v>
      </c>
      <c r="B8" s="18">
        <v>441</v>
      </c>
      <c r="C8" s="19" t="s">
        <v>218</v>
      </c>
      <c r="D8" s="19" t="s">
        <v>1063</v>
      </c>
      <c r="E8" s="18">
        <v>1991</v>
      </c>
      <c r="F8" s="19" t="s">
        <v>19</v>
      </c>
      <c r="G8" s="19" t="s">
        <v>235</v>
      </c>
      <c r="H8" s="19" t="s">
        <v>100</v>
      </c>
      <c r="I8" s="17" t="str">
        <f>IF(ISBLANK(Merge23!T2), IF(ISBLANK(Merge23!U2), "", Merge23!U2),Merge23!T2&amp; IF(ISBLANK(Merge23!U2), "", "-"&amp;Merge23!U2))</f>
        <v>002178000027</v>
      </c>
      <c r="J8" s="16" t="str">
        <f>IF(ISBLANK(Merge23!S2),"",Merge23!S2)</f>
        <v>Giáo viên trung học phổ thông hạng III - V.07.05.15</v>
      </c>
      <c r="K8" s="52">
        <v>5</v>
      </c>
      <c r="L8" s="10"/>
      <c r="M8" s="11"/>
      <c r="N8" s="11"/>
      <c r="O8" s="11"/>
      <c r="P8" s="11"/>
      <c r="Q8" s="11"/>
      <c r="R8" s="32"/>
    </row>
    <row r="9" spans="1:18" s="6" customFormat="1" ht="29.25" customHeight="1">
      <c r="A9" s="30">
        <v>2</v>
      </c>
      <c r="B9" s="18">
        <v>442</v>
      </c>
      <c r="C9" s="19" t="s">
        <v>236</v>
      </c>
      <c r="D9" s="19" t="s">
        <v>1131</v>
      </c>
      <c r="E9" s="18">
        <v>1981</v>
      </c>
      <c r="F9" s="19" t="s">
        <v>21</v>
      </c>
      <c r="G9" s="19" t="s">
        <v>66</v>
      </c>
      <c r="H9" s="19" t="s">
        <v>121</v>
      </c>
      <c r="I9" s="17" t="str">
        <f>IF(ISBLANK(Merge23!T3), IF(ISBLANK(Merge23!U3), "", Merge23!U3),Merge23!T3&amp; IF(ISBLANK(Merge23!U3), "", "-"&amp;Merge23!U3))</f>
        <v>001176049161</v>
      </c>
      <c r="J9" s="16" t="str">
        <f>IF(ISBLANK(Merge23!S3),"",Merge23!S3)</f>
        <v>Giáo viên trung học phổ thông hạng III - V.07.05.15</v>
      </c>
      <c r="K9" s="52">
        <v>5.5</v>
      </c>
      <c r="L9" s="10"/>
      <c r="M9" s="11"/>
      <c r="N9" s="11"/>
      <c r="O9" s="11"/>
      <c r="P9" s="11"/>
      <c r="Q9" s="11"/>
      <c r="R9" s="32"/>
    </row>
    <row r="10" spans="1:18" s="6" customFormat="1" ht="29.25" customHeight="1">
      <c r="A10" s="30">
        <v>3</v>
      </c>
      <c r="B10" s="18">
        <v>443</v>
      </c>
      <c r="C10" s="19" t="s">
        <v>237</v>
      </c>
      <c r="D10" s="19" t="s">
        <v>1130</v>
      </c>
      <c r="E10" s="18">
        <v>1984</v>
      </c>
      <c r="F10" s="19" t="s">
        <v>21</v>
      </c>
      <c r="G10" s="19" t="s">
        <v>238</v>
      </c>
      <c r="H10" s="19" t="s">
        <v>121</v>
      </c>
      <c r="I10" s="17" t="str">
        <f>IF(ISBLANK(Merge23!T4), IF(ISBLANK(Merge23!U4), "", Merge23!U4),Merge23!T4&amp; IF(ISBLANK(Merge23!U4), "", "-"&amp;Merge23!U4))</f>
        <v>027176002787</v>
      </c>
      <c r="J10" s="16" t="str">
        <f>IF(ISBLANK(Merge23!S4),"",Merge23!S4)</f>
        <v>Giáo viên trung học phổ thông hạng III - V.07.05.15</v>
      </c>
      <c r="K10" s="52">
        <v>5.5</v>
      </c>
      <c r="L10" s="10"/>
      <c r="M10" s="12"/>
      <c r="N10" s="12"/>
      <c r="O10" s="12"/>
      <c r="P10" s="12"/>
      <c r="Q10" s="12"/>
      <c r="R10" s="32"/>
    </row>
    <row r="11" spans="1:18" s="6" customFormat="1" ht="34.5" customHeight="1">
      <c r="A11" s="30">
        <v>4</v>
      </c>
      <c r="B11" s="18">
        <v>444</v>
      </c>
      <c r="C11" s="19" t="s">
        <v>239</v>
      </c>
      <c r="D11" s="19" t="s">
        <v>1128</v>
      </c>
      <c r="E11" s="18">
        <v>1976</v>
      </c>
      <c r="F11" s="19" t="s">
        <v>21</v>
      </c>
      <c r="G11" s="19" t="s">
        <v>140</v>
      </c>
      <c r="H11" s="19" t="s">
        <v>61</v>
      </c>
      <c r="I11" s="17" t="str">
        <f>IF(ISBLANK(Merge23!T5), IF(ISBLANK(Merge23!U5), "", Merge23!U5),Merge23!T5&amp; IF(ISBLANK(Merge23!U5), "", "-"&amp;Merge23!U5))</f>
        <v>001179028050</v>
      </c>
      <c r="J11" s="16" t="str">
        <f>IF(ISBLANK(Merge23!S5),"",Merge23!S5)</f>
        <v>Giáo viên trung học phổ thông hạng III - V.07.05.15</v>
      </c>
      <c r="K11" s="52">
        <v>5.5</v>
      </c>
      <c r="L11" s="10"/>
      <c r="M11" s="11"/>
      <c r="N11" s="11"/>
      <c r="O11" s="11"/>
      <c r="P11" s="11"/>
      <c r="Q11" s="11"/>
      <c r="R11" s="32"/>
    </row>
    <row r="12" spans="1:18" s="6" customFormat="1" ht="29.25" customHeight="1">
      <c r="A12" s="30">
        <v>5</v>
      </c>
      <c r="B12" s="18">
        <v>445</v>
      </c>
      <c r="C12" s="19" t="s">
        <v>193</v>
      </c>
      <c r="D12" s="19" t="s">
        <v>1053</v>
      </c>
      <c r="E12" s="18">
        <v>1984</v>
      </c>
      <c r="F12" s="19" t="s">
        <v>19</v>
      </c>
      <c r="G12" s="19" t="s">
        <v>240</v>
      </c>
      <c r="H12" s="19" t="s">
        <v>121</v>
      </c>
      <c r="I12" s="17" t="str">
        <f>IF(ISBLANK(Merge23!T6), IF(ISBLANK(Merge23!U6), "", Merge23!U6),Merge23!T6&amp; IF(ISBLANK(Merge23!U6), "", "-"&amp;Merge23!U6))</f>
        <v>001076003003</v>
      </c>
      <c r="J12" s="16" t="str">
        <f>IF(ISBLANK(Merge23!S6),"",Merge23!S6)</f>
        <v>Giáo viên trung học cơ sở hạng II - V.07.04.31</v>
      </c>
      <c r="K12" s="52">
        <v>5.5</v>
      </c>
      <c r="L12" s="10"/>
      <c r="M12" s="13"/>
      <c r="N12" s="12"/>
      <c r="O12" s="12"/>
      <c r="P12" s="12"/>
      <c r="Q12" s="12"/>
      <c r="R12" s="32"/>
    </row>
    <row r="13" spans="1:18" s="6" customFormat="1" ht="29.25" customHeight="1">
      <c r="A13" s="30">
        <v>6</v>
      </c>
      <c r="B13" s="18">
        <v>446</v>
      </c>
      <c r="C13" s="20" t="s">
        <v>241</v>
      </c>
      <c r="D13" s="20" t="s">
        <v>1179</v>
      </c>
      <c r="E13" s="21">
        <v>2000</v>
      </c>
      <c r="F13" s="20" t="s">
        <v>21</v>
      </c>
      <c r="G13" s="20" t="s">
        <v>242</v>
      </c>
      <c r="H13" s="20" t="s">
        <v>243</v>
      </c>
      <c r="I13" s="17" t="str">
        <f>IF(ISBLANK(Merge23!T7), IF(ISBLANK(Merge23!U7), "", Merge23!U7),Merge23!T7&amp; IF(ISBLANK(Merge23!U7), "", "-"&amp;Merge23!U7))</f>
        <v>001078028836</v>
      </c>
      <c r="J13" s="16" t="str">
        <f>IF(ISBLANK(Merge23!S7),"",Merge23!S7)</f>
        <v>Giáo viên trung học cơ sở hạng II - V.07.04.31</v>
      </c>
      <c r="K13" s="54">
        <v>5.5</v>
      </c>
      <c r="L13" s="10"/>
      <c r="M13" s="11"/>
      <c r="N13" s="11"/>
      <c r="O13" s="11"/>
      <c r="P13" s="11"/>
      <c r="Q13" s="11"/>
      <c r="R13" s="32"/>
    </row>
    <row r="14" spans="1:18" s="6" customFormat="1" ht="29.25" customHeight="1">
      <c r="A14" s="30">
        <v>7</v>
      </c>
      <c r="B14" s="18">
        <v>447</v>
      </c>
      <c r="C14" s="19" t="s">
        <v>244</v>
      </c>
      <c r="D14" s="19" t="s">
        <v>1180</v>
      </c>
      <c r="E14" s="18">
        <v>1983</v>
      </c>
      <c r="F14" s="19" t="s">
        <v>21</v>
      </c>
      <c r="G14" s="19" t="s">
        <v>245</v>
      </c>
      <c r="H14" s="19" t="s">
        <v>71</v>
      </c>
      <c r="I14" s="17" t="str">
        <f>IF(ISBLANK(Merge23!T8), IF(ISBLANK(Merge23!U8), "", Merge23!U8),Merge23!T8&amp; IF(ISBLANK(Merge23!U8), "", "-"&amp;Merge23!U8))</f>
        <v>001184035063</v>
      </c>
      <c r="J14" s="16" t="str">
        <f>IF(ISBLANK(Merge23!S8),"",Merge23!S8)</f>
        <v>Giáo viên trung học cơ sở hạng II - V.07.04.31</v>
      </c>
      <c r="K14" s="52">
        <v>5.5</v>
      </c>
      <c r="L14" s="10"/>
      <c r="M14" s="12"/>
      <c r="N14" s="12"/>
      <c r="O14" s="12"/>
      <c r="P14" s="12"/>
      <c r="Q14" s="12"/>
      <c r="R14" s="32"/>
    </row>
    <row r="15" spans="1:18" s="6" customFormat="1" ht="32.25" customHeight="1">
      <c r="A15" s="30">
        <v>8</v>
      </c>
      <c r="B15" s="18">
        <v>448</v>
      </c>
      <c r="C15" s="19" t="s">
        <v>246</v>
      </c>
      <c r="D15" s="19" t="s">
        <v>1129</v>
      </c>
      <c r="E15" s="18">
        <v>1978</v>
      </c>
      <c r="F15" s="19" t="s">
        <v>21</v>
      </c>
      <c r="G15" s="19" t="s">
        <v>143</v>
      </c>
      <c r="H15" s="19" t="s">
        <v>27</v>
      </c>
      <c r="I15" s="15" t="str">
        <f>IF(ISBLANK(Merge23!T9), IF(ISBLANK(Merge23!U9), "", Merge23!U9),Merge23!T9&amp; IF(ISBLANK(Merge23!U9), "", "-"&amp;Merge23!U9))</f>
        <v>026181006803</v>
      </c>
      <c r="J15" s="16" t="str">
        <f>IF(ISBLANK(Merge23!S9),"",Merge23!S9)</f>
        <v>Giáo viên trung học cơ sở hạng II - V.07.04.31</v>
      </c>
      <c r="K15" s="52">
        <v>5.5</v>
      </c>
      <c r="L15" s="10"/>
      <c r="M15" s="12"/>
      <c r="N15" s="12"/>
      <c r="O15" s="12"/>
      <c r="P15" s="12"/>
      <c r="Q15" s="12"/>
      <c r="R15" s="32"/>
    </row>
    <row r="16" spans="1:18" s="6" customFormat="1" ht="37.5" customHeight="1">
      <c r="A16" s="30">
        <v>9</v>
      </c>
      <c r="B16" s="18">
        <v>449</v>
      </c>
      <c r="C16" s="19" t="s">
        <v>36</v>
      </c>
      <c r="D16" s="19" t="s">
        <v>1181</v>
      </c>
      <c r="E16" s="18">
        <v>1995</v>
      </c>
      <c r="F16" s="19" t="s">
        <v>30</v>
      </c>
      <c r="G16" s="19" t="s">
        <v>151</v>
      </c>
      <c r="H16" s="19" t="s">
        <v>81</v>
      </c>
      <c r="I16" s="17" t="str">
        <f>IF(ISBLANK(Merge23!T10), IF(ISBLANK(Merge23!U10), "", Merge23!U10),Merge23!T10&amp; IF(ISBLANK(Merge23!U10), "", "-"&amp;Merge23!U10))</f>
        <v>001184039143</v>
      </c>
      <c r="J16" s="16" t="str">
        <f>IF(ISBLANK(Merge23!S10),"",Merge23!S10)</f>
        <v>Giáo viên tiểu học hạng III – V.07.03.29</v>
      </c>
      <c r="K16" s="52">
        <v>5.5</v>
      </c>
      <c r="L16" s="10"/>
      <c r="M16" s="13"/>
      <c r="N16" s="12"/>
      <c r="O16" s="12"/>
      <c r="P16" s="12"/>
      <c r="Q16" s="12"/>
      <c r="R16" s="32"/>
    </row>
    <row r="17" spans="1:18" s="6" customFormat="1" ht="29.25" customHeight="1">
      <c r="A17" s="30">
        <v>10</v>
      </c>
      <c r="B17" s="18">
        <v>450</v>
      </c>
      <c r="C17" s="19" t="s">
        <v>247</v>
      </c>
      <c r="D17" s="19" t="s">
        <v>1182</v>
      </c>
      <c r="E17" s="18">
        <v>1985</v>
      </c>
      <c r="F17" s="19" t="s">
        <v>30</v>
      </c>
      <c r="G17" s="19" t="s">
        <v>148</v>
      </c>
      <c r="H17" s="19" t="s">
        <v>149</v>
      </c>
      <c r="I17" s="17" t="str">
        <f>IF(ISBLANK(Merge23!T11), IF(ISBLANK(Merge23!U11), "", Merge23!U11),Merge23!T11&amp; IF(ISBLANK(Merge23!U11), "", "-"&amp;Merge23!U11))</f>
        <v>001177046284</v>
      </c>
      <c r="J17" s="16" t="str">
        <f>IF(ISBLANK(Merge23!S11),"",Merge23!S11)</f>
        <v>Giáo viên trung học phổ thông hạng III - V.07.05.15</v>
      </c>
      <c r="K17" s="52">
        <v>5.5</v>
      </c>
      <c r="L17" s="10"/>
      <c r="M17" s="13"/>
      <c r="N17" s="12"/>
      <c r="O17" s="12"/>
      <c r="P17" s="12"/>
      <c r="Q17" s="12"/>
      <c r="R17" s="32"/>
    </row>
    <row r="18" spans="1:18" s="6" customFormat="1" ht="39" customHeight="1">
      <c r="A18" s="30">
        <v>11</v>
      </c>
      <c r="B18" s="18">
        <v>451</v>
      </c>
      <c r="C18" s="19" t="s">
        <v>248</v>
      </c>
      <c r="D18" s="19" t="s">
        <v>1081</v>
      </c>
      <c r="E18" s="18">
        <v>1983</v>
      </c>
      <c r="F18" s="19" t="s">
        <v>30</v>
      </c>
      <c r="G18" s="19" t="s">
        <v>148</v>
      </c>
      <c r="H18" s="19" t="s">
        <v>149</v>
      </c>
      <c r="I18" s="17" t="str">
        <f>IF(ISBLANK(Merge23!T12), IF(ISBLANK(Merge23!U12), "", Merge23!U12),Merge23!T12&amp; IF(ISBLANK(Merge23!U12), "", "-"&amp;Merge23!U12))</f>
        <v>001183053186</v>
      </c>
      <c r="J18" s="16" t="str">
        <f>IF(ISBLANK(Merge23!S12),"",Merge23!S12)</f>
        <v>Giáo viên tiểu học hạng III – V.07.03.29</v>
      </c>
      <c r="K18" s="52">
        <v>5.5</v>
      </c>
      <c r="L18" s="10"/>
      <c r="M18" s="11"/>
      <c r="N18" s="11"/>
      <c r="O18" s="11"/>
      <c r="P18" s="11"/>
      <c r="Q18" s="11"/>
      <c r="R18" s="32"/>
    </row>
    <row r="19" spans="1:18" s="6" customFormat="1" ht="29.25" customHeight="1">
      <c r="A19" s="30">
        <v>12</v>
      </c>
      <c r="B19" s="18">
        <v>452</v>
      </c>
      <c r="C19" s="19" t="s">
        <v>249</v>
      </c>
      <c r="D19" s="19" t="s">
        <v>1080</v>
      </c>
      <c r="E19" s="18">
        <v>1982</v>
      </c>
      <c r="F19" s="19" t="s">
        <v>30</v>
      </c>
      <c r="G19" s="19" t="s">
        <v>153</v>
      </c>
      <c r="H19" s="19" t="s">
        <v>76</v>
      </c>
      <c r="I19" s="17" t="str">
        <f>IF(ISBLANK(Merge23!T13), IF(ISBLANK(Merge23!U13), "", Merge23!U13),Merge23!T13&amp; IF(ISBLANK(Merge23!U13), "", "-"&amp;Merge23!U13))</f>
        <v>001191025902</v>
      </c>
      <c r="J19" s="16" t="str">
        <f>IF(ISBLANK(Merge23!S13),"",Merge23!S13)</f>
        <v>Giáo viên tiểu học hạng III – V.07.03.29</v>
      </c>
      <c r="K19" s="52">
        <v>5.5</v>
      </c>
      <c r="L19" s="10"/>
      <c r="M19" s="13"/>
      <c r="N19" s="12"/>
      <c r="O19" s="12"/>
      <c r="P19" s="12"/>
      <c r="Q19" s="12"/>
      <c r="R19" s="32"/>
    </row>
    <row r="20" spans="1:18" s="6" customFormat="1" ht="29.25" customHeight="1">
      <c r="A20" s="30">
        <v>13</v>
      </c>
      <c r="B20" s="18">
        <v>453</v>
      </c>
      <c r="C20" s="19" t="s">
        <v>250</v>
      </c>
      <c r="D20" s="19" t="s">
        <v>1127</v>
      </c>
      <c r="E20" s="18">
        <v>1979</v>
      </c>
      <c r="F20" s="19" t="s">
        <v>30</v>
      </c>
      <c r="G20" s="19" t="s">
        <v>153</v>
      </c>
      <c r="H20" s="19" t="s">
        <v>76</v>
      </c>
      <c r="I20" s="17" t="str">
        <f>IF(ISBLANK(Merge23!T14), IF(ISBLANK(Merge23!U14), "", Merge23!U14),Merge23!T14&amp; IF(ISBLANK(Merge23!U14), "", "-"&amp;Merge23!U14))</f>
        <v>001182042023</v>
      </c>
      <c r="J20" s="16" t="str">
        <f>IF(ISBLANK(Merge23!S14),"",Merge23!S14)</f>
        <v>Giáo viên tiểu học hạng II – V.07.03.28</v>
      </c>
      <c r="K20" s="52">
        <v>5.5</v>
      </c>
      <c r="L20" s="10"/>
      <c r="M20" s="11"/>
      <c r="N20" s="11"/>
      <c r="O20" s="11"/>
      <c r="P20" s="11"/>
      <c r="Q20" s="11"/>
      <c r="R20" s="32"/>
    </row>
    <row r="21" spans="1:18" s="6" customFormat="1" ht="29.25" customHeight="1">
      <c r="A21" s="30">
        <v>14</v>
      </c>
      <c r="B21" s="18">
        <v>454</v>
      </c>
      <c r="C21" s="19" t="s">
        <v>251</v>
      </c>
      <c r="D21" s="19" t="s">
        <v>1124</v>
      </c>
      <c r="E21" s="18">
        <v>1978</v>
      </c>
      <c r="F21" s="19" t="s">
        <v>30</v>
      </c>
      <c r="G21" s="19" t="s">
        <v>151</v>
      </c>
      <c r="H21" s="19" t="s">
        <v>81</v>
      </c>
      <c r="I21" s="17" t="str">
        <f>IF(ISBLANK(Merge23!T15), IF(ISBLANK(Merge23!U15), "", Merge23!U15),Merge23!T15&amp; IF(ISBLANK(Merge23!U15), "", "-"&amp;Merge23!U15))</f>
        <v>001182002713</v>
      </c>
      <c r="J21" s="16" t="str">
        <f>IF(ISBLANK(Merge23!S15),"",Merge23!S15)</f>
        <v>Giáo viên trung học phổ thông hạng III - V.07.05.15</v>
      </c>
      <c r="K21" s="52">
        <v>5.5</v>
      </c>
      <c r="L21" s="10"/>
      <c r="M21" s="11"/>
      <c r="N21" s="11"/>
      <c r="O21" s="11"/>
      <c r="P21" s="11"/>
      <c r="Q21" s="11"/>
      <c r="R21" s="32"/>
    </row>
    <row r="22" spans="1:18" s="6" customFormat="1" ht="29.25" customHeight="1">
      <c r="A22" s="30">
        <v>15</v>
      </c>
      <c r="B22" s="18">
        <v>455</v>
      </c>
      <c r="C22" s="19" t="s">
        <v>252</v>
      </c>
      <c r="D22" s="19" t="s">
        <v>1125</v>
      </c>
      <c r="E22" s="18">
        <v>1976</v>
      </c>
      <c r="F22" s="19" t="s">
        <v>30</v>
      </c>
      <c r="G22" s="19" t="s">
        <v>151</v>
      </c>
      <c r="H22" s="19" t="s">
        <v>81</v>
      </c>
      <c r="I22" s="17" t="str">
        <f>IF(ISBLANK(Merge23!T16), IF(ISBLANK(Merge23!U16), "", Merge23!U16),Merge23!T16&amp; IF(ISBLANK(Merge23!U16), "", "-"&amp;Merge23!U16))</f>
        <v>014183008863-14183008863</v>
      </c>
      <c r="J22" s="16" t="str">
        <f>IF(ISBLANK(Merge23!S16),"",Merge23!S16)</f>
        <v>Giáo viên trung học phổ thông hạng III - V.07.05.15</v>
      </c>
      <c r="K22" s="52">
        <v>5.5</v>
      </c>
      <c r="L22" s="10"/>
      <c r="M22" s="11"/>
      <c r="N22" s="11"/>
      <c r="O22" s="11"/>
      <c r="P22" s="11"/>
      <c r="Q22" s="11"/>
      <c r="R22" s="32"/>
    </row>
    <row r="23" spans="1:18" s="6" customFormat="1" ht="36" customHeight="1">
      <c r="A23" s="30">
        <v>16</v>
      </c>
      <c r="B23" s="18">
        <v>456</v>
      </c>
      <c r="C23" s="19" t="s">
        <v>253</v>
      </c>
      <c r="D23" s="19" t="s">
        <v>1126</v>
      </c>
      <c r="E23" s="18">
        <v>1976</v>
      </c>
      <c r="F23" s="19" t="s">
        <v>30</v>
      </c>
      <c r="G23" s="19" t="s">
        <v>153</v>
      </c>
      <c r="H23" s="19" t="s">
        <v>76</v>
      </c>
      <c r="I23" s="17" t="str">
        <f>IF(ISBLANK(Merge23!T17), IF(ISBLANK(Merge23!U17), "", Merge23!U17),Merge23!T17&amp; IF(ISBLANK(Merge23!U17), "", "-"&amp;Merge23!U17))</f>
        <v>001195004906</v>
      </c>
      <c r="J23" s="16" t="str">
        <f>IF(ISBLANK(Merge23!S17),"",Merge23!S17)</f>
        <v>Giáo viên trung học cơ sở hạng III - V.07.04.32</v>
      </c>
      <c r="K23" s="52">
        <v>5.5</v>
      </c>
      <c r="L23" s="10"/>
      <c r="M23" s="11"/>
      <c r="N23" s="11"/>
      <c r="O23" s="11"/>
      <c r="P23" s="11"/>
      <c r="Q23" s="11"/>
      <c r="R23" s="32"/>
    </row>
    <row r="24" spans="1:18" s="6" customFormat="1" ht="29.25" customHeight="1">
      <c r="A24" s="30">
        <v>17</v>
      </c>
      <c r="B24" s="18">
        <v>457</v>
      </c>
      <c r="C24" s="19" t="s">
        <v>254</v>
      </c>
      <c r="D24" s="19" t="s">
        <v>1183</v>
      </c>
      <c r="E24" s="18">
        <v>1975</v>
      </c>
      <c r="F24" s="19" t="s">
        <v>30</v>
      </c>
      <c r="G24" s="19" t="s">
        <v>255</v>
      </c>
      <c r="H24" s="19" t="s">
        <v>81</v>
      </c>
      <c r="I24" s="17">
        <v>1175028245</v>
      </c>
      <c r="J24" s="16" t="s">
        <v>1190</v>
      </c>
      <c r="K24" s="52">
        <v>5.5</v>
      </c>
      <c r="L24" s="10"/>
      <c r="M24" s="13"/>
      <c r="N24" s="12"/>
      <c r="O24" s="12"/>
      <c r="P24" s="12"/>
      <c r="Q24" s="12"/>
      <c r="R24" s="32"/>
    </row>
    <row r="25" spans="1:18" s="6" customFormat="1" ht="29.25" customHeight="1">
      <c r="A25" s="30">
        <v>18</v>
      </c>
      <c r="B25" s="18">
        <v>458</v>
      </c>
      <c r="C25" s="19" t="s">
        <v>256</v>
      </c>
      <c r="D25" s="19" t="s">
        <v>1082</v>
      </c>
      <c r="E25" s="18">
        <v>1995</v>
      </c>
      <c r="F25" s="19" t="s">
        <v>21</v>
      </c>
      <c r="G25" s="19" t="s">
        <v>257</v>
      </c>
      <c r="H25" s="19" t="s">
        <v>157</v>
      </c>
      <c r="I25" s="17">
        <v>1195004906</v>
      </c>
      <c r="J25" s="16" t="s">
        <v>394</v>
      </c>
      <c r="K25" s="52">
        <v>5.5</v>
      </c>
      <c r="L25" s="10"/>
      <c r="M25" s="12"/>
      <c r="N25" s="12"/>
      <c r="O25" s="12"/>
      <c r="P25" s="12"/>
      <c r="Q25" s="12"/>
      <c r="R25" s="32"/>
    </row>
    <row r="26" spans="1:18" s="6" customFormat="1" ht="29.25" customHeight="1">
      <c r="A26" s="30">
        <v>19</v>
      </c>
      <c r="B26" s="18">
        <v>459</v>
      </c>
      <c r="C26" s="19" t="s">
        <v>176</v>
      </c>
      <c r="D26" s="19" t="s">
        <v>1160</v>
      </c>
      <c r="E26" s="18">
        <v>1975</v>
      </c>
      <c r="F26" s="19" t="s">
        <v>21</v>
      </c>
      <c r="G26" s="19" t="s">
        <v>258</v>
      </c>
      <c r="H26" s="19" t="s">
        <v>157</v>
      </c>
      <c r="I26" s="17" t="str">
        <f>IF(ISBLANK(Merge23!T20), IF(ISBLANK(Merge23!U20), "", Merge23!U20),Merge23!T20&amp; IF(ISBLANK(Merge23!U20), "", "-"&amp;Merge23!U20))</f>
        <v/>
      </c>
      <c r="J26" s="16" t="str">
        <f>IF(ISBLANK(Merge23!S20),"",Merge23!S20)</f>
        <v/>
      </c>
      <c r="K26" s="52">
        <v>5.5</v>
      </c>
      <c r="L26" s="10"/>
      <c r="M26" s="12"/>
      <c r="N26" s="12"/>
      <c r="O26" s="12"/>
      <c r="P26" s="12"/>
      <c r="Q26" s="12"/>
      <c r="R26" s="32"/>
    </row>
    <row r="27" spans="1:18" s="7" customFormat="1" ht="23.25" customHeight="1">
      <c r="A27" s="30">
        <v>20</v>
      </c>
      <c r="B27" s="18">
        <v>460</v>
      </c>
      <c r="C27" s="19" t="s">
        <v>259</v>
      </c>
      <c r="D27" s="19" t="s">
        <v>1058</v>
      </c>
      <c r="E27" s="18">
        <v>1983</v>
      </c>
      <c r="F27" s="19" t="s">
        <v>19</v>
      </c>
      <c r="G27" s="19" t="s">
        <v>260</v>
      </c>
      <c r="H27" s="19" t="s">
        <v>261</v>
      </c>
      <c r="I27" s="15">
        <v>1183053186</v>
      </c>
      <c r="J27" s="16" t="s">
        <v>654</v>
      </c>
      <c r="K27" s="52">
        <v>5</v>
      </c>
      <c r="L27" s="10"/>
      <c r="M27" s="12"/>
      <c r="N27" s="12"/>
      <c r="O27" s="12"/>
      <c r="P27" s="12"/>
      <c r="Q27" s="12"/>
      <c r="R27" s="32"/>
    </row>
    <row r="28" spans="1:18" s="7" customFormat="1" ht="23.25" customHeight="1">
      <c r="A28" s="1"/>
      <c r="B28" s="2"/>
      <c r="C28" s="1"/>
      <c r="D28" s="1"/>
      <c r="E28" s="2"/>
      <c r="F28" s="3" t="s">
        <v>13</v>
      </c>
      <c r="G28" s="2"/>
      <c r="H28" s="2"/>
      <c r="I28" s="2"/>
      <c r="J28" s="2"/>
      <c r="L28" s="4"/>
      <c r="M28" s="4"/>
      <c r="N28" s="4" t="s">
        <v>14</v>
      </c>
      <c r="O28" s="4"/>
      <c r="P28" s="4"/>
      <c r="Q28" s="2"/>
      <c r="R28" s="2"/>
    </row>
    <row r="29" spans="1:18" s="7" customFormat="1" ht="23.25" customHeight="1">
      <c r="A29" s="1" t="s">
        <v>49</v>
      </c>
      <c r="B29" s="2"/>
      <c r="C29" s="1"/>
      <c r="D29" s="1"/>
      <c r="E29" s="2"/>
      <c r="F29" s="3"/>
      <c r="G29" s="2"/>
      <c r="H29" s="2"/>
      <c r="I29" s="2"/>
      <c r="J29" s="2"/>
      <c r="K29" s="4"/>
      <c r="L29" s="4"/>
      <c r="M29" s="4"/>
      <c r="N29" s="4"/>
      <c r="O29" s="4"/>
      <c r="P29" s="4"/>
      <c r="Q29" s="2"/>
      <c r="R29" s="2"/>
    </row>
    <row r="30" spans="1:18" s="7" customFormat="1" ht="23.25" customHeight="1">
      <c r="A30" s="1" t="s">
        <v>15</v>
      </c>
      <c r="B30" s="2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s="7" customFormat="1" ht="23.25" customHeight="1">
      <c r="A31" s="1" t="s">
        <v>16</v>
      </c>
      <c r="B31" s="2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s="8" customFormat="1" ht="24.75" customHeight="1">
      <c r="A32" s="1" t="s">
        <v>17</v>
      </c>
      <c r="B32" s="2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27.75" customHeight="1">
      <c r="A33" s="1" t="s">
        <v>18</v>
      </c>
      <c r="B33" s="8"/>
      <c r="C33" s="8"/>
      <c r="D33" s="8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</sheetData>
  <mergeCells count="17">
    <mergeCell ref="L5:L6"/>
    <mergeCell ref="D5:D6"/>
    <mergeCell ref="A1:R1"/>
    <mergeCell ref="A2:R2"/>
    <mergeCell ref="A3:R3"/>
    <mergeCell ref="M5:Q5"/>
    <mergeCell ref="R5:R6"/>
    <mergeCell ref="A5:A6"/>
    <mergeCell ref="B5:B6"/>
    <mergeCell ref="C5:C6"/>
    <mergeCell ref="E5:E6"/>
    <mergeCell ref="F5:F6"/>
    <mergeCell ref="G5:G6"/>
    <mergeCell ref="H5:H6"/>
    <mergeCell ref="I5:I6"/>
    <mergeCell ref="J5:J6"/>
    <mergeCell ref="K5:K6"/>
  </mergeCells>
  <conditionalFormatting sqref="C7:D7">
    <cfRule type="duplicateValues" dxfId="19" priority="1"/>
  </conditionalFormatting>
  <conditionalFormatting sqref="C8:D27">
    <cfRule type="duplicateValues" dxfId="18" priority="2"/>
  </conditionalFormatting>
  <pageMargins left="0.118110236220472" right="0.118110236220472" top="0.21" bottom="0.15748031496063" header="0.2" footer="0.17"/>
  <pageSetup paperSize="9" scale="6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33"/>
  <sheetViews>
    <sheetView zoomScale="70" zoomScaleNormal="70" workbookViewId="0">
      <selection activeCell="A8" sqref="A8:J27"/>
    </sheetView>
  </sheetViews>
  <sheetFormatPr defaultColWidth="9" defaultRowHeight="15"/>
  <cols>
    <col min="1" max="2" width="13.28515625" style="5" customWidth="1"/>
    <col min="3" max="4" width="34.85546875" style="5" customWidth="1"/>
    <col min="5" max="5" width="16.42578125" style="5" customWidth="1"/>
    <col min="6" max="6" width="13.28515625" style="5" customWidth="1"/>
    <col min="7" max="7" width="27.42578125" style="5" customWidth="1"/>
    <col min="8" max="8" width="15.7109375" style="5" customWidth="1"/>
    <col min="9" max="9" width="18.5703125" style="5" customWidth="1"/>
    <col min="10" max="10" width="65.7109375" style="5" customWidth="1"/>
    <col min="11" max="17" width="14.42578125" style="5" customWidth="1"/>
    <col min="18" max="18" width="20.42578125" style="5" customWidth="1"/>
    <col min="19" max="16384" width="9" style="5"/>
  </cols>
  <sheetData>
    <row r="1" spans="1:18" s="9" customFormat="1" ht="43.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s="9" customFormat="1" ht="24" customHeight="1">
      <c r="A2" s="64" t="s">
        <v>291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s="9" customFormat="1" ht="35.25" customHeight="1">
      <c r="A3" s="64" t="s">
        <v>28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12" customHeight="1"/>
    <row r="5" spans="1:18" ht="41.25" customHeight="1">
      <c r="A5" s="73" t="s">
        <v>1</v>
      </c>
      <c r="B5" s="73" t="s">
        <v>50</v>
      </c>
      <c r="C5" s="73" t="s">
        <v>51</v>
      </c>
      <c r="D5" s="65" t="s">
        <v>1153</v>
      </c>
      <c r="E5" s="73" t="s">
        <v>52</v>
      </c>
      <c r="F5" s="73" t="s">
        <v>53</v>
      </c>
      <c r="G5" s="73" t="s">
        <v>54</v>
      </c>
      <c r="H5" s="73" t="s">
        <v>55</v>
      </c>
      <c r="I5" s="74" t="s">
        <v>2</v>
      </c>
      <c r="J5" s="74" t="s">
        <v>3</v>
      </c>
      <c r="K5" s="73" t="s">
        <v>4</v>
      </c>
      <c r="L5" s="73" t="s">
        <v>5</v>
      </c>
      <c r="M5" s="73" t="s">
        <v>6</v>
      </c>
      <c r="N5" s="73"/>
      <c r="O5" s="73"/>
      <c r="P5" s="73"/>
      <c r="Q5" s="73"/>
      <c r="R5" s="73" t="s">
        <v>7</v>
      </c>
    </row>
    <row r="6" spans="1:18" ht="48" customHeight="1">
      <c r="A6" s="73"/>
      <c r="B6" s="73"/>
      <c r="C6" s="73"/>
      <c r="D6" s="66"/>
      <c r="E6" s="73"/>
      <c r="F6" s="73"/>
      <c r="G6" s="73"/>
      <c r="H6" s="73"/>
      <c r="I6" s="74"/>
      <c r="J6" s="74"/>
      <c r="K6" s="73"/>
      <c r="L6" s="73"/>
      <c r="M6" s="14" t="s">
        <v>8</v>
      </c>
      <c r="N6" s="14" t="s">
        <v>9</v>
      </c>
      <c r="O6" s="14" t="s">
        <v>10</v>
      </c>
      <c r="P6" s="14" t="s">
        <v>11</v>
      </c>
      <c r="Q6" s="14" t="s">
        <v>12</v>
      </c>
      <c r="R6" s="73"/>
    </row>
    <row r="7" spans="1:18" s="6" customFormat="1" ht="29.25" customHeight="1">
      <c r="A7" s="30" t="s">
        <v>660</v>
      </c>
      <c r="B7" s="18" t="s">
        <v>671</v>
      </c>
      <c r="C7" s="19" t="s">
        <v>672</v>
      </c>
      <c r="D7" s="19" t="s">
        <v>673</v>
      </c>
      <c r="E7" s="18" t="s">
        <v>686</v>
      </c>
      <c r="F7" s="19" t="s">
        <v>687</v>
      </c>
      <c r="G7" s="19" t="s">
        <v>688</v>
      </c>
      <c r="H7" s="19" t="s">
        <v>689</v>
      </c>
      <c r="I7" s="17" t="s">
        <v>690</v>
      </c>
      <c r="J7" s="16" t="s">
        <v>691</v>
      </c>
      <c r="K7" s="25" t="s">
        <v>692</v>
      </c>
      <c r="L7" s="10" t="s">
        <v>693</v>
      </c>
      <c r="M7" s="11" t="s">
        <v>694</v>
      </c>
      <c r="N7" s="11" t="s">
        <v>695</v>
      </c>
      <c r="O7" s="11" t="s">
        <v>696</v>
      </c>
      <c r="P7" s="11" t="s">
        <v>697</v>
      </c>
      <c r="Q7" s="11" t="s">
        <v>698</v>
      </c>
      <c r="R7" s="32" t="s">
        <v>699</v>
      </c>
    </row>
    <row r="8" spans="1:18" s="6" customFormat="1" ht="29.25" customHeight="1">
      <c r="A8" s="30">
        <v>1</v>
      </c>
      <c r="B8" s="18">
        <v>482</v>
      </c>
      <c r="C8" s="19" t="s">
        <v>262</v>
      </c>
      <c r="D8" s="19" t="s">
        <v>1099</v>
      </c>
      <c r="E8" s="18">
        <v>1984</v>
      </c>
      <c r="F8" s="19" t="s">
        <v>30</v>
      </c>
      <c r="G8" s="19" t="s">
        <v>113</v>
      </c>
      <c r="H8" s="19" t="s">
        <v>114</v>
      </c>
      <c r="I8" s="17" t="str">
        <f>IF(ISBLANK(Merge24!T2), IF(ISBLANK(Merge24!U2), "", Merge24!U2),Merge24!T2&amp; IF(ISBLANK(Merge24!U2), "", "-"&amp;Merge24!U2))</f>
        <v>001184058569</v>
      </c>
      <c r="J8" s="16" t="str">
        <f>IF(ISBLANK(Merge24!S2),"",Merge24!S2)</f>
        <v>Giáo viên trung học phổ thông hạng II - V.07.05.14</v>
      </c>
      <c r="K8" s="52">
        <v>5.5</v>
      </c>
      <c r="L8" s="10"/>
      <c r="M8" s="11"/>
      <c r="N8" s="11"/>
      <c r="O8" s="11"/>
      <c r="P8" s="11"/>
      <c r="Q8" s="11"/>
      <c r="R8" s="32"/>
    </row>
    <row r="9" spans="1:18" s="6" customFormat="1" ht="29.25" customHeight="1">
      <c r="A9" s="30">
        <v>2</v>
      </c>
      <c r="B9" s="18">
        <v>462</v>
      </c>
      <c r="C9" s="19" t="s">
        <v>263</v>
      </c>
      <c r="D9" s="19" t="s">
        <v>1046</v>
      </c>
      <c r="E9" s="18">
        <v>1977</v>
      </c>
      <c r="F9" s="19" t="s">
        <v>21</v>
      </c>
      <c r="G9" s="19" t="s">
        <v>264</v>
      </c>
      <c r="H9" s="19" t="s">
        <v>149</v>
      </c>
      <c r="I9" s="17" t="str">
        <f>IF(ISBLANK(Merge24!T3), IF(ISBLANK(Merge24!U3), "", Merge24!U3),Merge24!T3&amp; IF(ISBLANK(Merge24!U3), "", "-"&amp;Merge24!U3))</f>
        <v>001194006005</v>
      </c>
      <c r="J9" s="16" t="str">
        <f>IF(ISBLANK(Merge24!S3),"",Merge24!S3)</f>
        <v>Giáo viên trung học cơ sở hạng III - V.07.04.32</v>
      </c>
      <c r="K9" s="52">
        <v>5.5</v>
      </c>
      <c r="L9" s="10"/>
      <c r="M9" s="11"/>
      <c r="N9" s="11"/>
      <c r="O9" s="11"/>
      <c r="P9" s="11"/>
      <c r="Q9" s="11"/>
      <c r="R9" s="32"/>
    </row>
    <row r="10" spans="1:18" s="6" customFormat="1" ht="29.25" customHeight="1">
      <c r="A10" s="30">
        <v>3</v>
      </c>
      <c r="B10" s="18">
        <v>463</v>
      </c>
      <c r="C10" s="19" t="s">
        <v>265</v>
      </c>
      <c r="D10" s="19" t="s">
        <v>1184</v>
      </c>
      <c r="E10" s="18">
        <v>1989</v>
      </c>
      <c r="F10" s="19" t="s">
        <v>19</v>
      </c>
      <c r="G10" s="19" t="s">
        <v>266</v>
      </c>
      <c r="H10" s="19" t="s">
        <v>81</v>
      </c>
      <c r="I10" s="17" t="str">
        <f>IF(ISBLANK(Merge24!T4), IF(ISBLANK(Merge24!U4), "", Merge24!U4),Merge24!T4&amp; IF(ISBLANK(Merge24!U4), "", "-"&amp;Merge24!U4))</f>
        <v>001178003953</v>
      </c>
      <c r="J10" s="16" t="str">
        <f>IF(ISBLANK(Merge24!S4),"",Merge24!S4)</f>
        <v>Giáo viên trung học phổ thông hạng III - V.07.05.15</v>
      </c>
      <c r="K10" s="52">
        <v>5.5</v>
      </c>
      <c r="L10" s="10"/>
      <c r="M10" s="12"/>
      <c r="N10" s="12"/>
      <c r="O10" s="12"/>
      <c r="P10" s="12"/>
      <c r="Q10" s="12"/>
      <c r="R10" s="32"/>
    </row>
    <row r="11" spans="1:18" s="6" customFormat="1" ht="34.5" customHeight="1">
      <c r="A11" s="30">
        <v>4</v>
      </c>
      <c r="B11" s="18">
        <v>464</v>
      </c>
      <c r="C11" s="19" t="s">
        <v>267</v>
      </c>
      <c r="D11" s="19" t="s">
        <v>1049</v>
      </c>
      <c r="E11" s="18">
        <v>1979</v>
      </c>
      <c r="F11" s="19" t="s">
        <v>21</v>
      </c>
      <c r="G11" s="19" t="s">
        <v>35</v>
      </c>
      <c r="H11" s="19" t="s">
        <v>81</v>
      </c>
      <c r="I11" s="17" t="str">
        <f>IF(ISBLANK(Merge24!T5), IF(ISBLANK(Merge24!U5), "", Merge24!U5),Merge24!T5&amp; IF(ISBLANK(Merge24!U5), "", "-"&amp;Merge24!U5))</f>
        <v>001180056849</v>
      </c>
      <c r="J11" s="16" t="str">
        <f>IF(ISBLANK(Merge24!S5),"",Merge24!S5)</f>
        <v>Giáo viên trung học cơ sở hạng III - V.07.04.32</v>
      </c>
      <c r="K11" s="52">
        <v>5.5</v>
      </c>
      <c r="L11" s="10"/>
      <c r="M11" s="11"/>
      <c r="N11" s="11"/>
      <c r="O11" s="11"/>
      <c r="P11" s="11"/>
      <c r="Q11" s="11"/>
      <c r="R11" s="32"/>
    </row>
    <row r="12" spans="1:18" s="6" customFormat="1" ht="29.25" customHeight="1">
      <c r="A12" s="30">
        <v>5</v>
      </c>
      <c r="B12" s="18">
        <v>465</v>
      </c>
      <c r="C12" s="19" t="s">
        <v>268</v>
      </c>
      <c r="D12" s="19" t="s">
        <v>666</v>
      </c>
      <c r="E12" s="18">
        <v>1975</v>
      </c>
      <c r="F12" s="19" t="s">
        <v>21</v>
      </c>
      <c r="G12" s="19" t="s">
        <v>171</v>
      </c>
      <c r="H12" s="19" t="s">
        <v>81</v>
      </c>
      <c r="I12" s="17" t="str">
        <f>IF(ISBLANK(Merge24!T6), IF(ISBLANK(Merge24!U6), "", Merge24!U6),Merge24!T6&amp; IF(ISBLANK(Merge24!U6), "", "-"&amp;Merge24!U6))</f>
        <v>001186019155</v>
      </c>
      <c r="J12" s="16" t="str">
        <f>IF(ISBLANK(Merge24!S6),"",Merge24!S6)</f>
        <v>Giáo viên trung học phổ thông hạng III - V.07.05.15</v>
      </c>
      <c r="K12" s="52">
        <v>5.5</v>
      </c>
      <c r="L12" s="10"/>
      <c r="M12" s="13"/>
      <c r="N12" s="12"/>
      <c r="O12" s="12"/>
      <c r="P12" s="12"/>
      <c r="Q12" s="12"/>
      <c r="R12" s="32"/>
    </row>
    <row r="13" spans="1:18" s="6" customFormat="1" ht="29.25" customHeight="1">
      <c r="A13" s="30">
        <v>6</v>
      </c>
      <c r="B13" s="18">
        <v>466</v>
      </c>
      <c r="C13" s="19" t="s">
        <v>269</v>
      </c>
      <c r="D13" s="19" t="s">
        <v>1078</v>
      </c>
      <c r="E13" s="18">
        <v>1988</v>
      </c>
      <c r="F13" s="19" t="s">
        <v>21</v>
      </c>
      <c r="G13" s="19" t="s">
        <v>270</v>
      </c>
      <c r="H13" s="19" t="s">
        <v>81</v>
      </c>
      <c r="I13" s="17" t="str">
        <f>IF(ISBLANK(Merge24!T7), IF(ISBLANK(Merge24!U7), "", Merge24!U7),Merge24!T7&amp; IF(ISBLANK(Merge24!U7), "", "-"&amp;Merge24!U7))</f>
        <v>001184057507</v>
      </c>
      <c r="J13" s="16" t="str">
        <f>IF(ISBLANK(Merge24!S7),"",Merge24!S7)</f>
        <v>Giáo viên trung học cơ sở hạng II - V.07.04.31</v>
      </c>
      <c r="K13" s="52">
        <v>5.5</v>
      </c>
      <c r="L13" s="10"/>
      <c r="M13" s="11"/>
      <c r="N13" s="11"/>
      <c r="O13" s="11"/>
      <c r="P13" s="11"/>
      <c r="Q13" s="11"/>
      <c r="R13" s="32"/>
    </row>
    <row r="14" spans="1:18" s="6" customFormat="1" ht="29.25" customHeight="1">
      <c r="A14" s="30">
        <v>7</v>
      </c>
      <c r="B14" s="18">
        <v>467</v>
      </c>
      <c r="C14" s="19" t="s">
        <v>271</v>
      </c>
      <c r="D14" s="19" t="s">
        <v>1185</v>
      </c>
      <c r="E14" s="18">
        <v>1978</v>
      </c>
      <c r="F14" s="19" t="s">
        <v>30</v>
      </c>
      <c r="G14" s="19" t="s">
        <v>33</v>
      </c>
      <c r="H14" s="19" t="s">
        <v>272</v>
      </c>
      <c r="I14" s="17" t="str">
        <f>IF(ISBLANK(Merge24!T8), IF(ISBLANK(Merge24!U8), "", Merge24!U8),Merge24!T8&amp; IF(ISBLANK(Merge24!U8), "", "-"&amp;Merge24!U8))</f>
        <v>019177000235</v>
      </c>
      <c r="J14" s="16" t="str">
        <f>IF(ISBLANK(Merge24!S8),"",Merge24!S8)</f>
        <v>Giáo viên trung học cơ sở hạng II - V.07.04.31</v>
      </c>
      <c r="K14" s="52">
        <v>6</v>
      </c>
      <c r="L14" s="10"/>
      <c r="M14" s="12"/>
      <c r="N14" s="12"/>
      <c r="O14" s="12"/>
      <c r="P14" s="12"/>
      <c r="Q14" s="12"/>
      <c r="R14" s="32"/>
    </row>
    <row r="15" spans="1:18" s="6" customFormat="1" ht="32.25" customHeight="1">
      <c r="A15" s="30">
        <v>8</v>
      </c>
      <c r="B15" s="18">
        <v>468</v>
      </c>
      <c r="C15" s="19" t="s">
        <v>273</v>
      </c>
      <c r="D15" s="19" t="s">
        <v>1052</v>
      </c>
      <c r="E15" s="18">
        <v>1979</v>
      </c>
      <c r="F15" s="19" t="s">
        <v>19</v>
      </c>
      <c r="G15" s="19" t="s">
        <v>274</v>
      </c>
      <c r="H15" s="19" t="s">
        <v>94</v>
      </c>
      <c r="I15" s="15" t="str">
        <f>IF(ISBLANK(Merge24!T9), IF(ISBLANK(Merge24!U9), "", Merge24!U9),Merge24!T9&amp; IF(ISBLANK(Merge24!U9), "", "-"&amp;Merge24!U9))</f>
        <v>001192033920</v>
      </c>
      <c r="J15" s="16" t="str">
        <f>IF(ISBLANK(Merge24!S9),"",Merge24!S9)</f>
        <v>Giáo viên tiểu học hạng III – V.07.03.29</v>
      </c>
      <c r="K15" s="52">
        <v>6</v>
      </c>
      <c r="L15" s="10"/>
      <c r="M15" s="12"/>
      <c r="N15" s="12"/>
      <c r="O15" s="12"/>
      <c r="P15" s="12"/>
      <c r="Q15" s="12"/>
      <c r="R15" s="32"/>
    </row>
    <row r="16" spans="1:18" s="6" customFormat="1" ht="37.5" customHeight="1">
      <c r="A16" s="30">
        <v>9</v>
      </c>
      <c r="B16" s="18">
        <v>469</v>
      </c>
      <c r="C16" s="19" t="s">
        <v>275</v>
      </c>
      <c r="D16" s="19" t="s">
        <v>1062</v>
      </c>
      <c r="E16" s="18">
        <v>1992</v>
      </c>
      <c r="F16" s="19" t="s">
        <v>21</v>
      </c>
      <c r="G16" s="19" t="s">
        <v>104</v>
      </c>
      <c r="H16" s="19" t="s">
        <v>20</v>
      </c>
      <c r="I16" s="17" t="str">
        <f>IF(ISBLANK(Merge24!T10), IF(ISBLANK(Merge24!U10), "", Merge24!U10),Merge24!T10&amp; IF(ISBLANK(Merge24!U10), "", "-"&amp;Merge24!U10))</f>
        <v>001179005747</v>
      </c>
      <c r="J16" s="16" t="str">
        <f>IF(ISBLANK(Merge24!S10),"",Merge24!S10)</f>
        <v>Giáo viên trung học cơ sở hạng II - V.07.04.31</v>
      </c>
      <c r="K16" s="52">
        <v>6</v>
      </c>
      <c r="L16" s="10"/>
      <c r="M16" s="13"/>
      <c r="N16" s="12"/>
      <c r="O16" s="12"/>
      <c r="P16" s="12"/>
      <c r="Q16" s="12"/>
      <c r="R16" s="32"/>
    </row>
    <row r="17" spans="1:18" s="6" customFormat="1" ht="29.25" customHeight="1">
      <c r="A17" s="30">
        <v>10</v>
      </c>
      <c r="B17" s="18">
        <v>470</v>
      </c>
      <c r="C17" s="19" t="s">
        <v>276</v>
      </c>
      <c r="D17" s="19" t="s">
        <v>1137</v>
      </c>
      <c r="E17" s="18">
        <v>1984</v>
      </c>
      <c r="F17" s="19" t="s">
        <v>21</v>
      </c>
      <c r="G17" s="19" t="s">
        <v>38</v>
      </c>
      <c r="H17" s="19" t="s">
        <v>20</v>
      </c>
      <c r="I17" s="17" t="str">
        <f>IF(ISBLANK(Merge24!T11), IF(ISBLANK(Merge24!U11), "", Merge24!U11),Merge24!T11&amp; IF(ISBLANK(Merge24!U11), "", "-"&amp;Merge24!U11))</f>
        <v>‘001179007111</v>
      </c>
      <c r="J17" s="16" t="str">
        <f>IF(ISBLANK(Merge24!S11),"",Merge24!S11)</f>
        <v>Giáo viên tiểu học hạng II – V.07.03.28</v>
      </c>
      <c r="K17" s="52">
        <v>6</v>
      </c>
      <c r="L17" s="10"/>
      <c r="M17" s="13"/>
      <c r="N17" s="12"/>
      <c r="O17" s="12"/>
      <c r="P17" s="12"/>
      <c r="Q17" s="12"/>
      <c r="R17" s="32"/>
    </row>
    <row r="18" spans="1:18" s="6" customFormat="1" ht="39" customHeight="1">
      <c r="A18" s="30">
        <v>11</v>
      </c>
      <c r="B18" s="18">
        <v>471</v>
      </c>
      <c r="C18" s="19" t="s">
        <v>277</v>
      </c>
      <c r="D18" s="19" t="s">
        <v>1186</v>
      </c>
      <c r="E18" s="18">
        <v>1982</v>
      </c>
      <c r="F18" s="19" t="s">
        <v>21</v>
      </c>
      <c r="G18" s="19" t="s">
        <v>22</v>
      </c>
      <c r="H18" s="19" t="s">
        <v>94</v>
      </c>
      <c r="I18" s="17" t="str">
        <f>IF(ISBLANK(Merge24!T12), IF(ISBLANK(Merge24!U12), "", Merge24!U12),Merge24!T12&amp; IF(ISBLANK(Merge24!U12), "", "-"&amp;Merge24!U12))</f>
        <v>001179014240</v>
      </c>
      <c r="J18" s="16" t="str">
        <f>IF(ISBLANK(Merge24!S12),"",Merge24!S12)</f>
        <v>Giáo viên trung học phổ thông hạng III - V.07.05.15</v>
      </c>
      <c r="K18" s="52">
        <v>6</v>
      </c>
      <c r="L18" s="10"/>
      <c r="M18" s="11"/>
      <c r="N18" s="11"/>
      <c r="O18" s="11"/>
      <c r="P18" s="11"/>
      <c r="Q18" s="11"/>
      <c r="R18" s="32"/>
    </row>
    <row r="19" spans="1:18" s="6" customFormat="1" ht="29.25" customHeight="1">
      <c r="A19" s="30">
        <v>12</v>
      </c>
      <c r="B19" s="18">
        <v>472</v>
      </c>
      <c r="C19" s="19" t="s">
        <v>278</v>
      </c>
      <c r="D19" s="19" t="s">
        <v>1134</v>
      </c>
      <c r="E19" s="18">
        <v>1980</v>
      </c>
      <c r="F19" s="19" t="s">
        <v>21</v>
      </c>
      <c r="G19" s="19" t="s">
        <v>43</v>
      </c>
      <c r="H19" s="19" t="s">
        <v>20</v>
      </c>
      <c r="I19" s="17" t="str">
        <f>IF(ISBLANK(Merge24!T13), IF(ISBLANK(Merge24!U13), "", Merge24!U13),Merge24!T13&amp; IF(ISBLANK(Merge24!U13), "", "-"&amp;Merge24!U13))</f>
        <v>001192049535</v>
      </c>
      <c r="J19" s="16" t="str">
        <f>IF(ISBLANK(Merge24!S13),"",Merge24!S13)</f>
        <v>Giáo viên trung học cơ sở hạng III - V.07.04.32</v>
      </c>
      <c r="K19" s="52">
        <v>6</v>
      </c>
      <c r="L19" s="10"/>
      <c r="M19" s="13"/>
      <c r="N19" s="12"/>
      <c r="O19" s="12"/>
      <c r="P19" s="12"/>
      <c r="Q19" s="12"/>
      <c r="R19" s="32"/>
    </row>
    <row r="20" spans="1:18" s="6" customFormat="1" ht="29.25" customHeight="1">
      <c r="A20" s="30">
        <v>13</v>
      </c>
      <c r="B20" s="18">
        <v>473</v>
      </c>
      <c r="C20" s="19" t="s">
        <v>194</v>
      </c>
      <c r="D20" s="19" t="s">
        <v>1118</v>
      </c>
      <c r="E20" s="18">
        <v>1979</v>
      </c>
      <c r="F20" s="19" t="s">
        <v>21</v>
      </c>
      <c r="G20" s="19" t="s">
        <v>47</v>
      </c>
      <c r="H20" s="19" t="s">
        <v>20</v>
      </c>
      <c r="I20" s="17" t="str">
        <f>IF(ISBLANK(Merge24!T14), IF(ISBLANK(Merge24!U14), "", Merge24!U14),Merge24!T14&amp; IF(ISBLANK(Merge24!U14), "", "-"&amp;Merge24!U14))</f>
        <v>044188000007</v>
      </c>
      <c r="J20" s="16" t="str">
        <f>IF(ISBLANK(Merge24!S14),"",Merge24!S14)</f>
        <v>Giáo viên trung học cơ sở hạng III - V.07.04.32</v>
      </c>
      <c r="K20" s="52">
        <v>6</v>
      </c>
      <c r="L20" s="10"/>
      <c r="M20" s="11"/>
      <c r="N20" s="11"/>
      <c r="O20" s="11"/>
      <c r="P20" s="11"/>
      <c r="Q20" s="11"/>
      <c r="R20" s="32"/>
    </row>
    <row r="21" spans="1:18" s="6" customFormat="1" ht="29.25" customHeight="1">
      <c r="A21" s="30">
        <v>14</v>
      </c>
      <c r="B21" s="18">
        <v>474</v>
      </c>
      <c r="C21" s="19" t="s">
        <v>279</v>
      </c>
      <c r="D21" s="19" t="s">
        <v>1187</v>
      </c>
      <c r="E21" s="18">
        <v>1977</v>
      </c>
      <c r="F21" s="19" t="s">
        <v>21</v>
      </c>
      <c r="G21" s="19" t="s">
        <v>24</v>
      </c>
      <c r="H21" s="19" t="s">
        <v>210</v>
      </c>
      <c r="I21" s="17">
        <v>1177009345</v>
      </c>
      <c r="J21" s="16" t="s">
        <v>315</v>
      </c>
      <c r="K21" s="52">
        <v>6</v>
      </c>
      <c r="L21" s="10"/>
      <c r="M21" s="11"/>
      <c r="N21" s="11"/>
      <c r="O21" s="11"/>
      <c r="P21" s="11"/>
      <c r="Q21" s="11"/>
      <c r="R21" s="32"/>
    </row>
    <row r="22" spans="1:18" s="6" customFormat="1" ht="29.25" customHeight="1">
      <c r="A22" s="30">
        <v>15</v>
      </c>
      <c r="B22" s="18">
        <v>475</v>
      </c>
      <c r="C22" s="19" t="s">
        <v>280</v>
      </c>
      <c r="D22" s="19" t="s">
        <v>1054</v>
      </c>
      <c r="E22" s="18">
        <v>1979</v>
      </c>
      <c r="F22" s="19" t="s">
        <v>30</v>
      </c>
      <c r="G22" s="19" t="s">
        <v>107</v>
      </c>
      <c r="H22" s="19" t="s">
        <v>100</v>
      </c>
      <c r="I22" s="17">
        <v>1179014240</v>
      </c>
      <c r="J22" s="16" t="s">
        <v>327</v>
      </c>
      <c r="K22" s="52">
        <v>5.5</v>
      </c>
      <c r="L22" s="10"/>
      <c r="M22" s="11"/>
      <c r="N22" s="11"/>
      <c r="O22" s="11"/>
      <c r="P22" s="11"/>
      <c r="Q22" s="11"/>
      <c r="R22" s="32"/>
    </row>
    <row r="23" spans="1:18" s="6" customFormat="1" ht="36" customHeight="1">
      <c r="A23" s="30">
        <v>16</v>
      </c>
      <c r="B23" s="18">
        <v>476</v>
      </c>
      <c r="C23" s="19" t="s">
        <v>281</v>
      </c>
      <c r="D23" s="19" t="s">
        <v>1188</v>
      </c>
      <c r="E23" s="18">
        <v>1978</v>
      </c>
      <c r="F23" s="19" t="s">
        <v>30</v>
      </c>
      <c r="G23" s="19" t="s">
        <v>282</v>
      </c>
      <c r="H23" s="19" t="s">
        <v>283</v>
      </c>
      <c r="I23" s="17" t="str">
        <f>IF(ISBLANK(Merge24!T17), IF(ISBLANK(Merge24!U17), "", Merge24!U17),Merge24!T17&amp; IF(ISBLANK(Merge24!U17), "", "-"&amp;Merge24!U17))</f>
        <v/>
      </c>
      <c r="J23" s="16" t="str">
        <f>IF(ISBLANK(Merge24!S17),"",Merge24!S17)</f>
        <v/>
      </c>
      <c r="K23" s="52">
        <v>6</v>
      </c>
      <c r="L23" s="10"/>
      <c r="M23" s="11"/>
      <c r="N23" s="11"/>
      <c r="O23" s="11"/>
      <c r="P23" s="11"/>
      <c r="Q23" s="11"/>
      <c r="R23" s="32"/>
    </row>
    <row r="24" spans="1:18" s="6" customFormat="1" ht="29.25" customHeight="1">
      <c r="A24" s="30">
        <v>17</v>
      </c>
      <c r="B24" s="18">
        <v>477</v>
      </c>
      <c r="C24" s="19" t="s">
        <v>128</v>
      </c>
      <c r="D24" s="19" t="s">
        <v>1149</v>
      </c>
      <c r="E24" s="18">
        <v>1982</v>
      </c>
      <c r="F24" s="19" t="s">
        <v>30</v>
      </c>
      <c r="G24" s="19" t="s">
        <v>110</v>
      </c>
      <c r="H24" s="19" t="s">
        <v>100</v>
      </c>
      <c r="I24" s="17">
        <v>1182033283</v>
      </c>
      <c r="J24" s="16" t="s">
        <v>358</v>
      </c>
      <c r="K24" s="52">
        <v>6</v>
      </c>
      <c r="L24" s="10"/>
      <c r="M24" s="13"/>
      <c r="N24" s="12"/>
      <c r="O24" s="12"/>
      <c r="P24" s="12"/>
      <c r="Q24" s="12"/>
      <c r="R24" s="32"/>
    </row>
    <row r="25" spans="1:18" s="6" customFormat="1" ht="29.25" customHeight="1">
      <c r="A25" s="30">
        <v>18</v>
      </c>
      <c r="B25" s="18">
        <v>478</v>
      </c>
      <c r="C25" s="19" t="s">
        <v>284</v>
      </c>
      <c r="D25" s="19" t="s">
        <v>1133</v>
      </c>
      <c r="E25" s="18">
        <v>1978</v>
      </c>
      <c r="F25" s="19" t="s">
        <v>30</v>
      </c>
      <c r="G25" s="19" t="s">
        <v>110</v>
      </c>
      <c r="H25" s="19" t="s">
        <v>100</v>
      </c>
      <c r="I25" s="17">
        <v>1178003953</v>
      </c>
      <c r="J25" s="16" t="s">
        <v>327</v>
      </c>
      <c r="K25" s="52">
        <v>6</v>
      </c>
      <c r="L25" s="10"/>
      <c r="M25" s="12"/>
      <c r="N25" s="12"/>
      <c r="O25" s="12"/>
      <c r="P25" s="12"/>
      <c r="Q25" s="12"/>
      <c r="R25" s="32"/>
    </row>
    <row r="26" spans="1:18" s="6" customFormat="1" ht="29.25" customHeight="1">
      <c r="A26" s="30">
        <v>19</v>
      </c>
      <c r="B26" s="18">
        <v>479</v>
      </c>
      <c r="C26" s="19" t="s">
        <v>285</v>
      </c>
      <c r="D26" s="19" t="s">
        <v>1048</v>
      </c>
      <c r="E26" s="18">
        <v>1992</v>
      </c>
      <c r="F26" s="19" t="s">
        <v>19</v>
      </c>
      <c r="G26" s="19" t="s">
        <v>286</v>
      </c>
      <c r="H26" s="19" t="s">
        <v>39</v>
      </c>
      <c r="I26" s="17">
        <v>1192033920</v>
      </c>
      <c r="J26" s="16" t="s">
        <v>654</v>
      </c>
      <c r="K26" s="52">
        <v>6</v>
      </c>
      <c r="L26" s="10"/>
      <c r="M26" s="12"/>
      <c r="N26" s="12"/>
      <c r="O26" s="12"/>
      <c r="P26" s="12"/>
      <c r="Q26" s="12"/>
      <c r="R26" s="32"/>
    </row>
    <row r="27" spans="1:18" s="7" customFormat="1" ht="23.25" customHeight="1">
      <c r="A27" s="30">
        <v>20</v>
      </c>
      <c r="B27" s="18">
        <v>480</v>
      </c>
      <c r="C27" s="19" t="s">
        <v>287</v>
      </c>
      <c r="D27" s="19" t="s">
        <v>1136</v>
      </c>
      <c r="E27" s="18">
        <v>1986</v>
      </c>
      <c r="F27" s="19" t="s">
        <v>30</v>
      </c>
      <c r="G27" s="19" t="s">
        <v>46</v>
      </c>
      <c r="H27" s="19" t="s">
        <v>59</v>
      </c>
      <c r="I27" s="15">
        <v>1186019155</v>
      </c>
      <c r="J27" s="16" t="s">
        <v>327</v>
      </c>
      <c r="K27" s="52">
        <v>6</v>
      </c>
      <c r="L27" s="10"/>
      <c r="M27" s="12"/>
      <c r="N27" s="12"/>
      <c r="O27" s="12"/>
      <c r="P27" s="12"/>
      <c r="Q27" s="12"/>
      <c r="R27" s="32"/>
    </row>
    <row r="28" spans="1:18" s="7" customFormat="1" ht="23.25" customHeight="1">
      <c r="A28" s="1"/>
      <c r="B28" s="2"/>
      <c r="C28" s="1"/>
      <c r="D28" s="1"/>
      <c r="E28" s="2"/>
      <c r="F28" s="3" t="s">
        <v>13</v>
      </c>
      <c r="G28" s="2"/>
      <c r="H28" s="2"/>
      <c r="I28" s="2"/>
      <c r="J28" s="2"/>
      <c r="L28" s="4"/>
      <c r="M28" s="4"/>
      <c r="N28" s="4" t="s">
        <v>14</v>
      </c>
      <c r="O28" s="4"/>
      <c r="P28" s="4"/>
      <c r="Q28" s="2"/>
      <c r="R28" s="2"/>
    </row>
    <row r="29" spans="1:18" s="7" customFormat="1" ht="23.25" customHeight="1">
      <c r="A29" s="1" t="s">
        <v>49</v>
      </c>
      <c r="B29" s="2"/>
      <c r="C29" s="1"/>
      <c r="D29" s="1"/>
      <c r="E29" s="2"/>
      <c r="F29" s="3"/>
      <c r="G29" s="2"/>
      <c r="H29" s="2"/>
      <c r="I29" s="2"/>
      <c r="J29" s="2"/>
      <c r="K29" s="4"/>
      <c r="L29" s="4"/>
      <c r="M29" s="4"/>
      <c r="N29" s="4"/>
      <c r="O29" s="4"/>
      <c r="P29" s="4"/>
      <c r="Q29" s="2"/>
      <c r="R29" s="2"/>
    </row>
    <row r="30" spans="1:18" s="7" customFormat="1" ht="23.25" customHeight="1">
      <c r="A30" s="1" t="s">
        <v>15</v>
      </c>
      <c r="B30" s="2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s="7" customFormat="1" ht="23.25" customHeight="1">
      <c r="A31" s="1" t="s">
        <v>16</v>
      </c>
      <c r="B31" s="2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s="8" customFormat="1" ht="24.75" customHeight="1">
      <c r="A32" s="1" t="s">
        <v>17</v>
      </c>
      <c r="B32" s="2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27.75" customHeight="1">
      <c r="A33" s="1" t="s">
        <v>18</v>
      </c>
      <c r="B33" s="8"/>
      <c r="C33" s="8"/>
      <c r="D33" s="8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</sheetData>
  <mergeCells count="17">
    <mergeCell ref="L5:L6"/>
    <mergeCell ref="D5:D6"/>
    <mergeCell ref="A1:R1"/>
    <mergeCell ref="A2:R2"/>
    <mergeCell ref="A3:R3"/>
    <mergeCell ref="M5:Q5"/>
    <mergeCell ref="R5:R6"/>
    <mergeCell ref="A5:A6"/>
    <mergeCell ref="B5:B6"/>
    <mergeCell ref="C5:C6"/>
    <mergeCell ref="E5:E6"/>
    <mergeCell ref="F5:F6"/>
    <mergeCell ref="G5:G6"/>
    <mergeCell ref="H5:H6"/>
    <mergeCell ref="I5:I6"/>
    <mergeCell ref="J5:J6"/>
    <mergeCell ref="K5:K6"/>
  </mergeCells>
  <conditionalFormatting sqref="C7:D7">
    <cfRule type="duplicateValues" dxfId="17" priority="1"/>
  </conditionalFormatting>
  <conditionalFormatting sqref="C8:D27">
    <cfRule type="duplicateValues" dxfId="16" priority="2"/>
  </conditionalFormatting>
  <pageMargins left="0.118110236220472" right="0.118110236220472" top="0.21" bottom="0.15748031496063" header="0.2" footer="0.17"/>
  <pageSetup paperSize="9" scale="6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F02F-E24F-41F2-AA6E-8B859788CCA6}">
  <sheetPr codeName="Sheet8"/>
  <dimension ref="A1:U184"/>
  <sheetViews>
    <sheetView zoomScaleNormal="100" workbookViewId="0">
      <selection activeCell="M5" sqref="M5:Q5"/>
    </sheetView>
  </sheetViews>
  <sheetFormatPr defaultRowHeight="15"/>
  <cols>
    <col min="1" max="1" width="5.28515625" style="56" bestFit="1" customWidth="1"/>
    <col min="2" max="2" width="9.7109375" style="56" bestFit="1" customWidth="1"/>
    <col min="3" max="3" width="23.28515625" style="56" bestFit="1" customWidth="1"/>
    <col min="4" max="4" width="6.140625" style="56" bestFit="1" customWidth="1"/>
    <col min="5" max="5" width="20.7109375" style="56" bestFit="1" customWidth="1"/>
    <col min="6" max="6" width="10.85546875" style="56" bestFit="1" customWidth="1"/>
    <col min="7" max="7" width="23.5703125" style="56" bestFit="1" customWidth="1"/>
    <col min="8" max="8" width="15" style="56" bestFit="1" customWidth="1"/>
    <col min="9" max="9" width="26.42578125" style="56" bestFit="1" customWidth="1"/>
    <col min="10" max="10" width="50" style="56" bestFit="1" customWidth="1"/>
    <col min="11" max="11" width="10" style="56" bestFit="1" customWidth="1"/>
    <col min="12" max="12" width="15.140625" style="56" bestFit="1" customWidth="1"/>
    <col min="13" max="13" width="9" style="56" bestFit="1" customWidth="1"/>
    <col min="14" max="14" width="6.85546875" style="56" bestFit="1" customWidth="1"/>
    <col min="15" max="15" width="6.42578125" style="56" bestFit="1" customWidth="1"/>
    <col min="16" max="16" width="6.5703125" style="56" bestFit="1" customWidth="1"/>
    <col min="17" max="17" width="10.5703125" style="56" bestFit="1" customWidth="1"/>
    <col min="18" max="18" width="5.85546875" style="56" bestFit="1" customWidth="1"/>
    <col min="19" max="19" width="7.7109375" style="56" bestFit="1" customWidth="1"/>
    <col min="20" max="20" width="7.140625" style="56" bestFit="1" customWidth="1"/>
    <col min="21" max="21" width="7.42578125" style="56" bestFit="1" customWidth="1"/>
    <col min="22" max="16384" width="9.140625" style="56"/>
  </cols>
  <sheetData>
    <row r="1" spans="1:21">
      <c r="A1" s="75" t="s">
        <v>1191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>
      <c r="A2" s="75" t="s">
        <v>1192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4" spans="1:21">
      <c r="A4" s="75" t="s">
        <v>1</v>
      </c>
      <c r="B4" s="75" t="s">
        <v>50</v>
      </c>
      <c r="C4" s="75" t="s">
        <v>1193</v>
      </c>
      <c r="D4" s="75" t="s">
        <v>1210</v>
      </c>
      <c r="E4" s="75" t="s">
        <v>1194</v>
      </c>
      <c r="F4" s="75" t="s">
        <v>1195</v>
      </c>
      <c r="G4" s="75" t="s">
        <v>1196</v>
      </c>
      <c r="H4" s="75" t="s">
        <v>1197</v>
      </c>
      <c r="I4" s="75" t="s">
        <v>1198</v>
      </c>
      <c r="J4" s="75" t="s">
        <v>1199</v>
      </c>
      <c r="K4" s="75" t="s">
        <v>1200</v>
      </c>
      <c r="L4" s="75" t="s">
        <v>1201</v>
      </c>
      <c r="M4" s="57"/>
      <c r="N4" s="57"/>
      <c r="O4" s="57"/>
      <c r="P4" s="57"/>
      <c r="Q4" s="57"/>
      <c r="R4" s="75" t="s">
        <v>1206</v>
      </c>
      <c r="S4" s="75" t="s">
        <v>1207</v>
      </c>
      <c r="T4" s="75" t="s">
        <v>1208</v>
      </c>
      <c r="U4" s="75" t="s">
        <v>1209</v>
      </c>
    </row>
    <row r="5" spans="1:21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57" t="s">
        <v>1202</v>
      </c>
      <c r="N5" s="57" t="s">
        <v>1203</v>
      </c>
      <c r="O5" s="57" t="s">
        <v>1204</v>
      </c>
      <c r="P5" s="57" t="s">
        <v>10</v>
      </c>
      <c r="Q5" s="57" t="s">
        <v>1205</v>
      </c>
      <c r="R5" s="75"/>
      <c r="S5" s="75"/>
      <c r="T5" s="75"/>
      <c r="U5" s="75"/>
    </row>
    <row r="6" spans="1:21" s="58" customFormat="1">
      <c r="B6" s="58">
        <f>Total!B1</f>
        <v>341</v>
      </c>
      <c r="C6" s="58" t="str">
        <f>Total!C1</f>
        <v>Trần Thị Thu Hiền</v>
      </c>
      <c r="E6" s="58">
        <f>Total!E1</f>
        <v>1977</v>
      </c>
      <c r="F6" s="58" t="str">
        <f>Total!F1</f>
        <v>THPT</v>
      </c>
      <c r="G6" s="58" t="str">
        <f>Total!G1</f>
        <v xml:space="preserve">Tam Đồng </v>
      </c>
      <c r="H6" s="58" t="str">
        <f>Total!H1</f>
        <v>Phúc Thịnh</v>
      </c>
      <c r="I6" s="58">
        <f>Total!I1</f>
        <v>1177043501</v>
      </c>
      <c r="J6" s="59" t="str">
        <f>Total!J1</f>
        <v>Giáo viên trung học cơ sở hạng II - V.07.04.31</v>
      </c>
    </row>
    <row r="7" spans="1:21" s="58" customFormat="1">
      <c r="B7" s="58">
        <f>Total!B2</f>
        <v>342</v>
      </c>
      <c r="C7" s="58" t="str">
        <f>Total!C2</f>
        <v>Nguyễn Thị Thảo</v>
      </c>
      <c r="E7" s="58">
        <f>Total!E2</f>
        <v>1976</v>
      </c>
      <c r="F7" s="58" t="str">
        <f>Total!F2</f>
        <v>THCS</v>
      </c>
      <c r="G7" s="58" t="str">
        <f>Total!G2</f>
        <v>THCS Tam Đồng</v>
      </c>
      <c r="H7" s="58" t="str">
        <f>Total!H2</f>
        <v>Tiến Thắng</v>
      </c>
      <c r="I7" s="58" t="str">
        <f>Total!I2</f>
        <v>001176040670</v>
      </c>
      <c r="J7" s="59" t="str">
        <f>Total!J2</f>
        <v>Giáo viên trung học cơ sở hạng II - V.07.04.31</v>
      </c>
    </row>
    <row r="8" spans="1:21" s="58" customFormat="1">
      <c r="B8" s="58">
        <f>Total!B3</f>
        <v>343</v>
      </c>
      <c r="C8" s="58" t="str">
        <f>Total!C3</f>
        <v>Bui Mai Lan</v>
      </c>
      <c r="E8" s="58">
        <f>Total!E3</f>
        <v>1977</v>
      </c>
      <c r="F8" s="58" t="str">
        <f>Total!F3</f>
        <v>THCS</v>
      </c>
      <c r="G8" s="58" t="str">
        <f>Total!G3</f>
        <v>THCS Tiến Thắng</v>
      </c>
      <c r="H8" s="58" t="str">
        <f>Total!H3</f>
        <v>Tiến Thắng</v>
      </c>
      <c r="I8" s="58" t="str">
        <f>Total!I3</f>
        <v>025177005125</v>
      </c>
      <c r="J8" s="59" t="str">
        <f>Total!J3</f>
        <v>V07.04.11</v>
      </c>
    </row>
    <row r="9" spans="1:21" s="58" customFormat="1">
      <c r="B9" s="58">
        <f>Total!B4</f>
        <v>344</v>
      </c>
      <c r="C9" s="58" t="str">
        <f>Total!C4</f>
        <v>Vũ Hùng Quang</v>
      </c>
      <c r="E9" s="58">
        <f>Total!E4</f>
        <v>1975</v>
      </c>
      <c r="F9" s="58" t="str">
        <f>Total!F4</f>
        <v>THCS</v>
      </c>
      <c r="G9" s="58" t="str">
        <f>Total!G4</f>
        <v>THCS Tráng Việt</v>
      </c>
      <c r="H9" s="58" t="str">
        <f>Total!H4</f>
        <v>Mê Linh</v>
      </c>
      <c r="I9" s="58" t="str">
        <f>Total!I4</f>
        <v>001075011375</v>
      </c>
      <c r="J9" s="59" t="str">
        <f>Total!J4</f>
        <v>Giáo viên trung học cơ sở hạng II - V.07.04.31</v>
      </c>
    </row>
    <row r="10" spans="1:21" s="58" customFormat="1">
      <c r="B10" s="58">
        <f>Total!B5</f>
        <v>345</v>
      </c>
      <c r="C10" s="58" t="str">
        <f>Total!C5</f>
        <v>Phùng Thị Kim Thao</v>
      </c>
      <c r="E10" s="58">
        <f>Total!E5</f>
        <v>1977</v>
      </c>
      <c r="F10" s="58" t="str">
        <f>Total!F5</f>
        <v>THCS</v>
      </c>
      <c r="G10" s="58" t="str">
        <f>Total!G5</f>
        <v>THCS Phạm Hồng Thái</v>
      </c>
      <c r="H10" s="58" t="str">
        <f>Total!H5</f>
        <v>Mê Linh</v>
      </c>
      <c r="I10" s="58" t="str">
        <f>Total!I5</f>
        <v>001177009537</v>
      </c>
      <c r="J10" s="59" t="str">
        <f>Total!J5</f>
        <v>Giáo viên trung học cơ sở hạng III - V.07.04.32</v>
      </c>
    </row>
    <row r="11" spans="1:21" s="58" customFormat="1">
      <c r="B11" s="58">
        <f>Total!B6</f>
        <v>4</v>
      </c>
      <c r="C11" s="58" t="str">
        <f>Total!C6</f>
        <v>Trần Thị Thanh Tâm</v>
      </c>
      <c r="E11" s="58">
        <f>Total!E6</f>
        <v>1983</v>
      </c>
      <c r="F11" s="58" t="str">
        <f>Total!F6</f>
        <v>TH</v>
      </c>
      <c r="G11" s="58" t="str">
        <f>Total!G6</f>
        <v>TH Xuân Canh</v>
      </c>
      <c r="H11" s="58" t="str">
        <f>Total!H6</f>
        <v>Đông Anh</v>
      </c>
      <c r="I11" s="58" t="str">
        <f>Total!I6</f>
        <v>026183003026-E032337481</v>
      </c>
      <c r="J11" s="59" t="str">
        <f>Total!J6</f>
        <v>Giáo viên tiểu học hạng II – V.07.03.28</v>
      </c>
    </row>
    <row r="12" spans="1:21" s="58" customFormat="1">
      <c r="B12" s="58">
        <f>Total!B7</f>
        <v>347</v>
      </c>
      <c r="C12" s="58" t="str">
        <f>Total!C7</f>
        <v>Ngô Thị Hồng Dương</v>
      </c>
      <c r="E12" s="58">
        <f>Total!E7</f>
        <v>1975</v>
      </c>
      <c r="F12" s="58" t="str">
        <f>Total!F7</f>
        <v>THCS</v>
      </c>
      <c r="G12" s="58" t="str">
        <f>Total!G7</f>
        <v>THCS Kim Hoa</v>
      </c>
      <c r="H12" s="58" t="str">
        <f>Total!H7</f>
        <v>Quang Minh</v>
      </c>
      <c r="I12" s="58" t="str">
        <f>Total!I7</f>
        <v>001175030348</v>
      </c>
      <c r="J12" s="59" t="str">
        <f>Total!J7</f>
        <v>Giáo viên trung học cơ sở hạng II - V.07.04.31</v>
      </c>
    </row>
    <row r="13" spans="1:21" s="58" customFormat="1">
      <c r="B13" s="58">
        <f>Total!B8</f>
        <v>348</v>
      </c>
      <c r="C13" s="58" t="str">
        <f>Total!C8</f>
        <v>Ngô Thị Thanh Thuỷ</v>
      </c>
      <c r="E13" s="58">
        <f>Total!E8</f>
        <v>1977</v>
      </c>
      <c r="F13" s="58" t="str">
        <f>Total!F8</f>
        <v>TH</v>
      </c>
      <c r="G13" s="58" t="str">
        <f>Total!G8</f>
        <v>TH Kim Hoa A</v>
      </c>
      <c r="H13" s="58" t="str">
        <f>Total!H8</f>
        <v>Quang Minh</v>
      </c>
      <c r="I13" s="58" t="str">
        <f>Total!I8</f>
        <v>001177032960</v>
      </c>
      <c r="J13" s="59" t="str">
        <f>Total!J8</f>
        <v>Giáo viên tiểu học hạng II – V.07.03.28</v>
      </c>
    </row>
    <row r="14" spans="1:21" s="58" customFormat="1">
      <c r="B14" s="58">
        <f>Total!B9</f>
        <v>349</v>
      </c>
      <c r="C14" s="58" t="str">
        <f>Total!C9</f>
        <v>Nguyễn Thị Yến</v>
      </c>
      <c r="E14" s="58">
        <f>Total!E9</f>
        <v>1975</v>
      </c>
      <c r="F14" s="58" t="str">
        <f>Total!F9</f>
        <v>THCS</v>
      </c>
      <c r="G14" s="58" t="str">
        <f>Total!G9</f>
        <v>THCS Hồng Kỳ</v>
      </c>
      <c r="H14" s="58" t="str">
        <f>Total!H9</f>
        <v>Trung Giã</v>
      </c>
      <c r="I14" s="58" t="str">
        <f>Total!I9</f>
        <v>001175014156</v>
      </c>
      <c r="J14" s="59" t="str">
        <f>Total!J9</f>
        <v>Giáo viên trung học cơ sở hạng II - V.07.04.31</v>
      </c>
    </row>
    <row r="15" spans="1:21" s="58" customFormat="1">
      <c r="B15" s="58">
        <f>Total!B10</f>
        <v>350</v>
      </c>
      <c r="C15" s="58" t="str">
        <f>Total!C10</f>
        <v>Nguyễn Thị Hồng Vân</v>
      </c>
      <c r="E15" s="58">
        <f>Total!E10</f>
        <v>1976</v>
      </c>
      <c r="F15" s="58" t="str">
        <f>Total!F10</f>
        <v>THCS</v>
      </c>
      <c r="G15" s="58" t="str">
        <f>Total!G10</f>
        <v>THCS Trung Giã</v>
      </c>
      <c r="H15" s="58" t="str">
        <f>Total!H10</f>
        <v>Trung Giã</v>
      </c>
      <c r="I15" s="58" t="str">
        <f>Total!I10</f>
        <v>001176048717</v>
      </c>
      <c r="J15" s="59" t="str">
        <f>Total!J10</f>
        <v>Giáo viên trung học cơ sở hạng III - V.07.04.32</v>
      </c>
    </row>
    <row r="16" spans="1:21" s="58" customFormat="1">
      <c r="B16" s="58">
        <f>Total!B11</f>
        <v>351</v>
      </c>
      <c r="C16" s="58" t="str">
        <f>Total!C11</f>
        <v>Nguyễn Thị Mai</v>
      </c>
      <c r="E16" s="58">
        <f>Total!E11</f>
        <v>1975</v>
      </c>
      <c r="F16" s="58" t="str">
        <f>Total!F11</f>
        <v>THCS</v>
      </c>
      <c r="G16" s="58" t="str">
        <f>Total!G11</f>
        <v>THCS Nguyễn Du</v>
      </c>
      <c r="H16" s="58" t="str">
        <f>Total!H11</f>
        <v>Sóc Sơn</v>
      </c>
      <c r="I16" s="58">
        <f>Total!I11</f>
        <v>0</v>
      </c>
      <c r="J16" s="59">
        <f>Total!J11</f>
        <v>0</v>
      </c>
    </row>
    <row r="17" spans="2:10" s="58" customFormat="1">
      <c r="B17" s="58">
        <f>Total!B12</f>
        <v>352</v>
      </c>
      <c r="C17" s="58" t="str">
        <f>Total!C12</f>
        <v>Vương Thị Hạnh</v>
      </c>
      <c r="E17" s="58">
        <f>Total!E12</f>
        <v>1984</v>
      </c>
      <c r="F17" s="58" t="str">
        <f>Total!F12</f>
        <v>THCS</v>
      </c>
      <c r="G17" s="58" t="str">
        <f>Total!G12</f>
        <v>THCS Tân Minh A</v>
      </c>
      <c r="H17" s="58" t="str">
        <f>Total!H12</f>
        <v>Sóc Sơn</v>
      </c>
      <c r="I17" s="58">
        <f>Total!I12</f>
        <v>1184022018</v>
      </c>
      <c r="J17" s="59" t="str">
        <f>Total!J12</f>
        <v>Giáo viên trung học cơ sở hạng III - V.07.04.32</v>
      </c>
    </row>
    <row r="18" spans="2:10" s="58" customFormat="1">
      <c r="B18" s="58">
        <f>Total!B13</f>
        <v>353</v>
      </c>
      <c r="C18" s="58" t="str">
        <f>Total!C13</f>
        <v>Trịnh Thị Lê Hằng</v>
      </c>
      <c r="E18" s="58">
        <f>Total!E13</f>
        <v>1976</v>
      </c>
      <c r="F18" s="58" t="str">
        <f>Total!F13</f>
        <v>THCS</v>
      </c>
      <c r="G18" s="58" t="str">
        <f>Total!G13</f>
        <v>THCS Tân Minh A</v>
      </c>
      <c r="H18" s="58" t="str">
        <f>Total!H13</f>
        <v>Sóc Sơn</v>
      </c>
      <c r="I18" s="58" t="str">
        <f>Total!I13</f>
        <v>001184022018</v>
      </c>
      <c r="J18" s="59" t="str">
        <f>Total!J13</f>
        <v>Giáo viên trung học cơ sở hạng III - V.07.04.32</v>
      </c>
    </row>
    <row r="19" spans="2:10" s="58" customFormat="1">
      <c r="B19" s="58">
        <f>Total!B14</f>
        <v>354</v>
      </c>
      <c r="C19" s="58" t="str">
        <f>Total!C14</f>
        <v>Lê Đức Vĩnh</v>
      </c>
      <c r="E19" s="58">
        <f>Total!E14</f>
        <v>1974</v>
      </c>
      <c r="F19" s="58" t="str">
        <f>Total!F14</f>
        <v>THCS</v>
      </c>
      <c r="G19" s="58" t="str">
        <f>Total!G14</f>
        <v>THCS Phù Linh</v>
      </c>
      <c r="H19" s="58" t="str">
        <f>Total!H14</f>
        <v>Sóc Sơn</v>
      </c>
      <c r="I19" s="58">
        <f>Total!I14</f>
        <v>1074022571</v>
      </c>
      <c r="J19" s="59" t="str">
        <f>Total!J14</f>
        <v>Giáo viên trung học cơ sở hạng II - V.07.04.31</v>
      </c>
    </row>
    <row r="20" spans="2:10" s="58" customFormat="1">
      <c r="B20" s="58">
        <f>Total!B15</f>
        <v>355</v>
      </c>
      <c r="C20" s="58" t="str">
        <f>Total!C15</f>
        <v>Lê Thị Duyên</v>
      </c>
      <c r="E20" s="58">
        <f>Total!E15</f>
        <v>1984</v>
      </c>
      <c r="F20" s="58" t="str">
        <f>Total!F15</f>
        <v>TH</v>
      </c>
      <c r="G20" s="58" t="str">
        <f>Total!G15</f>
        <v>TH Đào Duy Tùng</v>
      </c>
      <c r="H20" s="58" t="str">
        <f>Total!H15</f>
        <v>Đông Anh</v>
      </c>
      <c r="I20" s="58">
        <f>Total!I15</f>
        <v>1184030240</v>
      </c>
      <c r="J20" s="59" t="str">
        <f>Total!J15</f>
        <v>Giáo viên tiểu học hạng III – V.07.03.29</v>
      </c>
    </row>
    <row r="21" spans="2:10" s="58" customFormat="1">
      <c r="B21" s="58">
        <f>Total!B16</f>
        <v>356</v>
      </c>
      <c r="C21" s="58" t="str">
        <f>Total!C16</f>
        <v>Vương Phương Lâm</v>
      </c>
      <c r="E21" s="58">
        <f>Total!E16</f>
        <v>1980</v>
      </c>
      <c r="F21" s="58" t="str">
        <f>Total!F16</f>
        <v>TH</v>
      </c>
      <c r="G21" s="58" t="str">
        <f>Total!G16</f>
        <v>TH Đại Mạch</v>
      </c>
      <c r="H21" s="58" t="str">
        <f>Total!H16</f>
        <v>Thiên Lộc</v>
      </c>
      <c r="I21" s="58">
        <f>Total!I16</f>
        <v>1180014694</v>
      </c>
      <c r="J21" s="59" t="str">
        <f>Total!J16</f>
        <v>Giáo viên tiểu học hạng III – V.07.03.29</v>
      </c>
    </row>
    <row r="22" spans="2:10" s="58" customFormat="1">
      <c r="B22" s="58">
        <f>Total!B17</f>
        <v>357</v>
      </c>
      <c r="C22" s="58" t="str">
        <f>Total!C17</f>
        <v>Vũ Thị Mẫn</v>
      </c>
      <c r="E22" s="58">
        <f>Total!E17</f>
        <v>1980</v>
      </c>
      <c r="F22" s="58" t="str">
        <f>Total!F17</f>
        <v>TH</v>
      </c>
      <c r="G22" s="58" t="str">
        <f>Total!G17</f>
        <v>TH Lê Hữu Tựu</v>
      </c>
      <c r="H22" s="58" t="str">
        <f>Total!H17</f>
        <v xml:space="preserve">Phúc Thịnh </v>
      </c>
      <c r="I22" s="58">
        <f>Total!I17</f>
        <v>1180005662</v>
      </c>
      <c r="J22" s="59" t="str">
        <f>Total!J17</f>
        <v>Giáo viên tiểu học hạng III – V.07.03.29</v>
      </c>
    </row>
    <row r="23" spans="2:10" s="58" customFormat="1">
      <c r="B23" s="58">
        <f>Total!B18</f>
        <v>358</v>
      </c>
      <c r="C23" s="58" t="str">
        <f>Total!C18</f>
        <v>Nguyễn Thị Bích Loan</v>
      </c>
      <c r="E23" s="58">
        <f>Total!E18</f>
        <v>1977</v>
      </c>
      <c r="F23" s="58" t="str">
        <f>Total!F18</f>
        <v>TH</v>
      </c>
      <c r="G23" s="58" t="str">
        <f>Total!G18</f>
        <v>TH Hải Bối</v>
      </c>
      <c r="H23" s="58" t="str">
        <f>Total!H18</f>
        <v xml:space="preserve">Vĩnh Thanh </v>
      </c>
      <c r="I23" s="58" t="str">
        <f>Total!I18</f>
        <v>001180005662</v>
      </c>
      <c r="J23" s="59" t="str">
        <f>Total!J18</f>
        <v>Giáo viên tiểu học hạng III – V.07.03.29</v>
      </c>
    </row>
    <row r="24" spans="2:10" s="58" customFormat="1">
      <c r="B24" s="58">
        <f>Total!B19</f>
        <v>359</v>
      </c>
      <c r="C24" s="58" t="str">
        <f>Total!C19</f>
        <v>Nguyễn Tư Vinh</v>
      </c>
      <c r="E24" s="58">
        <f>Total!E19</f>
        <v>1977</v>
      </c>
      <c r="F24" s="58" t="str">
        <f>Total!F19</f>
        <v>THCS</v>
      </c>
      <c r="G24" s="58" t="str">
        <f>Total!G19</f>
        <v>THCS Liên Hà</v>
      </c>
      <c r="H24" s="58" t="str">
        <f>Total!H19</f>
        <v>Thư Lâm</v>
      </c>
      <c r="I24" s="58">
        <f>Total!I19</f>
        <v>27177000344</v>
      </c>
      <c r="J24" s="59" t="str">
        <f>Total!J19</f>
        <v>Giáo viên trung học cơ sở hạng II - V.07.04.31</v>
      </c>
    </row>
    <row r="25" spans="2:10" s="58" customFormat="1">
      <c r="B25" s="58">
        <f>Total!B20</f>
        <v>360</v>
      </c>
      <c r="C25" s="58" t="str">
        <f>Total!C20</f>
        <v>Dương Thị Thanh Hương</v>
      </c>
      <c r="E25" s="58">
        <f>Total!E20</f>
        <v>1976</v>
      </c>
      <c r="F25" s="58" t="str">
        <f>Total!F20</f>
        <v>THCS</v>
      </c>
      <c r="G25" s="58" t="str">
        <f>Total!G20</f>
        <v>THCS Liên Hà</v>
      </c>
      <c r="H25" s="58" t="str">
        <f>Total!H20</f>
        <v>Thư Lâm</v>
      </c>
      <c r="I25" s="58">
        <f>Total!I20</f>
        <v>1176045858</v>
      </c>
      <c r="J25" s="59" t="str">
        <f>Total!J20</f>
        <v>Giáo viên trung học cơ sở hạng II - V.07.04.31</v>
      </c>
    </row>
    <row r="26" spans="2:10" s="58" customFormat="1">
      <c r="B26" s="58">
        <f>Total!B21</f>
        <v>361</v>
      </c>
      <c r="C26" s="58" t="str">
        <f>Total!C21</f>
        <v>Phạm Thị Cửu</v>
      </c>
      <c r="E26" s="58">
        <f>Total!E21</f>
        <v>1976</v>
      </c>
      <c r="F26" s="58" t="str">
        <f>Total!F21</f>
        <v>THCS</v>
      </c>
      <c r="G26" s="58" t="str">
        <f>Total!G21</f>
        <v>THCS Xuân Nộn</v>
      </c>
      <c r="H26" s="58" t="str">
        <f>Total!H21</f>
        <v>Thư Lâm</v>
      </c>
      <c r="I26" s="58" t="str">
        <f>Total!I21</f>
        <v>001176046134</v>
      </c>
      <c r="J26" s="59" t="str">
        <f>Total!J21</f>
        <v>Giáo viên trung học cơ sở hạng II - V.07.04.31</v>
      </c>
    </row>
    <row r="27" spans="2:10" s="58" customFormat="1">
      <c r="B27" s="58">
        <f>Total!B22</f>
        <v>362</v>
      </c>
      <c r="C27" s="58" t="str">
        <f>Total!C22</f>
        <v>Hoàng Thu Hằng</v>
      </c>
      <c r="E27" s="58">
        <f>Total!E22</f>
        <v>1975</v>
      </c>
      <c r="F27" s="58" t="str">
        <f>Total!F22</f>
        <v>THCS</v>
      </c>
      <c r="G27" s="58" t="str">
        <f>Total!G22</f>
        <v>THCS Uy Nỗ</v>
      </c>
      <c r="H27" s="58" t="str">
        <f>Total!H22</f>
        <v>Đông Anh</v>
      </c>
      <c r="I27" s="58" t="str">
        <f>Total!I22</f>
        <v>001178029456</v>
      </c>
      <c r="J27" s="59" t="str">
        <f>Total!J22</f>
        <v>Giáo viên trung học phổ thông hạng III - V.07.05.15</v>
      </c>
    </row>
    <row r="28" spans="2:10" s="58" customFormat="1">
      <c r="B28" s="58">
        <f>Total!B23</f>
        <v>363</v>
      </c>
      <c r="C28" s="58" t="str">
        <f>Total!C23</f>
        <v>Ngô Thị Hà</v>
      </c>
      <c r="E28" s="58">
        <f>Total!E23</f>
        <v>1975</v>
      </c>
      <c r="F28" s="58" t="str">
        <f>Total!F23</f>
        <v>THCS</v>
      </c>
      <c r="G28" s="58" t="str">
        <f>Total!G23</f>
        <v>THCS Vân Hà</v>
      </c>
      <c r="H28" s="58" t="str">
        <f>Total!H23</f>
        <v>Thư Lâm</v>
      </c>
      <c r="I28" s="58" t="str">
        <f>Total!I23</f>
        <v>035185004411</v>
      </c>
      <c r="J28" s="59" t="str">
        <f>Total!J23</f>
        <v>Giáo viên trung học phổ thông hạng II - V.07.05.14</v>
      </c>
    </row>
    <row r="29" spans="2:10" s="58" customFormat="1">
      <c r="B29" s="58">
        <f>Total!B24</f>
        <v>364</v>
      </c>
      <c r="C29" s="58" t="str">
        <f>Total!C24</f>
        <v>Nghiêm Thị Nụ</v>
      </c>
      <c r="E29" s="58">
        <f>Total!E24</f>
        <v>1984</v>
      </c>
      <c r="F29" s="58" t="str">
        <f>Total!F24</f>
        <v>THPT</v>
      </c>
      <c r="G29" s="58" t="str">
        <f>Total!G24</f>
        <v>THPT Liên Hà</v>
      </c>
      <c r="H29" s="58" t="str">
        <f>Total!H24</f>
        <v>Thư Lâm</v>
      </c>
      <c r="I29" s="58" t="str">
        <f>Total!I24</f>
        <v>034178005875</v>
      </c>
      <c r="J29" s="59" t="str">
        <f>Total!J24</f>
        <v>Giáo viên tiểu học hạng II – V.07.03.28</v>
      </c>
    </row>
    <row r="30" spans="2:10" s="58" customFormat="1">
      <c r="B30" s="58">
        <f>Total!B25</f>
        <v>365</v>
      </c>
      <c r="C30" s="58" t="str">
        <f>Total!C25</f>
        <v>Phạm Thị Thu Thiêm</v>
      </c>
      <c r="E30" s="58">
        <f>Total!E25</f>
        <v>1976</v>
      </c>
      <c r="F30" s="58" t="str">
        <f>Total!F25</f>
        <v>THPT</v>
      </c>
      <c r="G30" s="58" t="str">
        <f>Total!G25</f>
        <v>THPT Liên Hà</v>
      </c>
      <c r="H30" s="58" t="str">
        <f>Total!H25</f>
        <v>Thư Lâm</v>
      </c>
      <c r="I30" s="58" t="str">
        <f>Total!I25</f>
        <v>001181004093</v>
      </c>
      <c r="J30" s="59" t="str">
        <f>Total!J25</f>
        <v>Giáo viên tiểu học hạng II – V.07.03.28</v>
      </c>
    </row>
    <row r="31" spans="2:10" s="58" customFormat="1">
      <c r="B31" s="58">
        <f>Total!B26</f>
        <v>366</v>
      </c>
      <c r="C31" s="58" t="str">
        <f>Total!C26</f>
        <v>Nguyễn Thị Nhung</v>
      </c>
      <c r="E31" s="58">
        <f>Total!E26</f>
        <v>1978</v>
      </c>
      <c r="F31" s="58" t="str">
        <f>Total!F26</f>
        <v>THPT</v>
      </c>
      <c r="G31" s="58" t="str">
        <f>Total!G26</f>
        <v>THPT Đông Anh</v>
      </c>
      <c r="H31" s="58" t="str">
        <f>Total!H26</f>
        <v>Thư Lâm</v>
      </c>
      <c r="I31" s="58" t="str">
        <f>Total!I26</f>
        <v>001178029862</v>
      </c>
      <c r="J31" s="59" t="str">
        <f>Total!J26</f>
        <v>Giáo viên trung học cơ sở hạng II - V.07.04.31</v>
      </c>
    </row>
    <row r="32" spans="2:10" s="58" customFormat="1">
      <c r="B32" s="58">
        <f>Total!B27</f>
        <v>367</v>
      </c>
      <c r="C32" s="58" t="str">
        <f>Total!C27</f>
        <v>Nguyễn Thế Huệ</v>
      </c>
      <c r="E32" s="58">
        <f>Total!E27</f>
        <v>1977</v>
      </c>
      <c r="F32" s="58" t="str">
        <f>Total!F27</f>
        <v>THPT</v>
      </c>
      <c r="G32" s="58" t="str">
        <f>Total!G27</f>
        <v>THPT Đông Anh</v>
      </c>
      <c r="H32" s="58" t="str">
        <f>Total!H27</f>
        <v>Thư Lâm</v>
      </c>
      <c r="I32" s="58" t="str">
        <f>Total!I27</f>
        <v>001077040753</v>
      </c>
      <c r="J32" s="59" t="str">
        <f>Total!J27</f>
        <v>Giáo viên trung học phổ thông hạng III - V.07.05.15</v>
      </c>
    </row>
    <row r="33" spans="2:10" s="58" customFormat="1">
      <c r="B33" s="58">
        <f>Total!B28</f>
        <v>368</v>
      </c>
      <c r="C33" s="58" t="str">
        <f>Total!C28</f>
        <v>Nguyễn Thị Nga</v>
      </c>
      <c r="E33" s="58">
        <f>Total!E28</f>
        <v>1985</v>
      </c>
      <c r="F33" s="58" t="str">
        <f>Total!F28</f>
        <v>THPT</v>
      </c>
      <c r="G33" s="58" t="str">
        <f>Total!G28</f>
        <v>THPT Tiến Thịnh</v>
      </c>
      <c r="H33" s="58" t="str">
        <f>Total!H28</f>
        <v xml:space="preserve">Yên Lãng </v>
      </c>
      <c r="I33" s="58">
        <f>Total!I28</f>
        <v>35185004411</v>
      </c>
      <c r="J33" s="59" t="str">
        <f>Total!J28</f>
        <v>Giáo viên trung học phổ thông hạng II - V.07.05.14</v>
      </c>
    </row>
    <row r="34" spans="2:10" s="58" customFormat="1">
      <c r="B34" s="58">
        <f>Total!B29</f>
        <v>369</v>
      </c>
      <c r="C34" s="58" t="str">
        <f>Total!C29</f>
        <v>Phùng Thu Hường</v>
      </c>
      <c r="E34" s="58">
        <f>Total!E29</f>
        <v>1987</v>
      </c>
      <c r="F34" s="58" t="str">
        <f>Total!F29</f>
        <v>TH</v>
      </c>
      <c r="G34" s="58" t="str">
        <f>Total!G29</f>
        <v>TH Tự Lập B</v>
      </c>
      <c r="H34" s="58" t="str">
        <f>Total!H29</f>
        <v>Tiến Thắng</v>
      </c>
      <c r="I34" s="58" t="str">
        <f>Total!I29</f>
        <v>001085037860</v>
      </c>
      <c r="J34" s="59" t="str">
        <f>Total!J29</f>
        <v>Giáo viên tiểu học hạng IV - V.07.03.09</v>
      </c>
    </row>
    <row r="35" spans="2:10" s="58" customFormat="1">
      <c r="B35" s="58">
        <f>Total!B30</f>
        <v>370</v>
      </c>
      <c r="C35" s="58" t="str">
        <f>Total!C30</f>
        <v>Đoàn Phương Thảo</v>
      </c>
      <c r="E35" s="58">
        <f>Total!E30</f>
        <v>1983</v>
      </c>
      <c r="F35" s="58" t="str">
        <f>Total!F30</f>
        <v>TH</v>
      </c>
      <c r="G35" s="58" t="str">
        <f>Total!G30</f>
        <v>TH Thanh Lâm B</v>
      </c>
      <c r="H35" s="58" t="str">
        <f>Total!H30</f>
        <v>Quang Minh</v>
      </c>
      <c r="I35" s="58" t="str">
        <f>Total!I30</f>
        <v>024182000152</v>
      </c>
      <c r="J35" s="59" t="str">
        <f>Total!J30</f>
        <v>Giáo viên trung học phổ thông hạng III - V.07.05.15</v>
      </c>
    </row>
    <row r="36" spans="2:10" s="58" customFormat="1">
      <c r="B36" s="58">
        <f>Total!B31</f>
        <v>371</v>
      </c>
      <c r="C36" s="58" t="str">
        <f>Total!C31</f>
        <v>Nguyễn Thanh Hà</v>
      </c>
      <c r="E36" s="58">
        <f>Total!E31</f>
        <v>1984</v>
      </c>
      <c r="F36" s="58" t="str">
        <f>Total!F31</f>
        <v>TH</v>
      </c>
      <c r="G36" s="58" t="str">
        <f>Total!G31</f>
        <v>TH Chu Phan</v>
      </c>
      <c r="H36" s="58" t="str">
        <f>Total!H31</f>
        <v>Yên Lãng</v>
      </c>
      <c r="I36" s="58" t="str">
        <f>Total!I31</f>
        <v>001176046317</v>
      </c>
      <c r="J36" s="59" t="str">
        <f>Total!J31</f>
        <v>Giáo viên trung học phổ thông hạng III - V.07.05.15</v>
      </c>
    </row>
    <row r="37" spans="2:10" s="58" customFormat="1">
      <c r="B37" s="58">
        <f>Total!B32</f>
        <v>372</v>
      </c>
      <c r="C37" s="58" t="str">
        <f>Total!C32</f>
        <v>Nguyễn Hoài Thanh</v>
      </c>
      <c r="E37" s="58">
        <f>Total!E32</f>
        <v>1978</v>
      </c>
      <c r="F37" s="58" t="str">
        <f>Total!F32</f>
        <v>TH</v>
      </c>
      <c r="G37" s="58" t="str">
        <f>Total!G32</f>
        <v>TH Đại Thịnh B</v>
      </c>
      <c r="H37" s="58" t="str">
        <f>Total!H32</f>
        <v>Quang Minh</v>
      </c>
      <c r="I37" s="58" t="str">
        <f>Total!I32</f>
        <v>001187032876</v>
      </c>
      <c r="J37" s="59" t="str">
        <f>Total!J32</f>
        <v>Giáo viên tiểu học hạng III – V.07.03.29</v>
      </c>
    </row>
    <row r="38" spans="2:10" s="58" customFormat="1">
      <c r="B38" s="58">
        <f>Total!B33</f>
        <v>373</v>
      </c>
      <c r="C38" s="58" t="str">
        <f>Total!C33</f>
        <v>Nguyễn Văn Bằng</v>
      </c>
      <c r="E38" s="58">
        <f>Total!E33</f>
        <v>1985</v>
      </c>
      <c r="F38" s="58" t="str">
        <f>Total!F33</f>
        <v>TH</v>
      </c>
      <c r="G38" s="58" t="str">
        <f>Total!G33</f>
        <v>TH Tự Lập A</v>
      </c>
      <c r="H38" s="58" t="str">
        <f>Total!H33</f>
        <v>Tiến Thắng</v>
      </c>
      <c r="I38" s="58" t="str">
        <f>Total!I33</f>
        <v>001184017736</v>
      </c>
      <c r="J38" s="59" t="str">
        <f>Total!J33</f>
        <v>Giáo viên trung học phổ thông hạng III - V.07.05.15</v>
      </c>
    </row>
    <row r="39" spans="2:10" s="58" customFormat="1">
      <c r="B39" s="58">
        <f>Total!B34</f>
        <v>374</v>
      </c>
      <c r="C39" s="58" t="str">
        <f>Total!C34</f>
        <v>Lê Thị Loan</v>
      </c>
      <c r="E39" s="58">
        <f>Total!E34</f>
        <v>1981</v>
      </c>
      <c r="F39" s="58" t="str">
        <f>Total!F34</f>
        <v>TH</v>
      </c>
      <c r="G39" s="58" t="str">
        <f>Total!G34</f>
        <v>TH Thạch Đà B</v>
      </c>
      <c r="H39" s="58" t="str">
        <f>Total!H34</f>
        <v>Yên Lãng</v>
      </c>
      <c r="I39" s="58" t="str">
        <f>Total!I34</f>
        <v>1181004093</v>
      </c>
      <c r="J39" s="59" t="str">
        <f>Total!J34</f>
        <v>Giáo viên tiểu học hạng II – V.07.03.28</v>
      </c>
    </row>
    <row r="40" spans="2:10" s="58" customFormat="1">
      <c r="B40" s="58">
        <f>Total!B35</f>
        <v>375</v>
      </c>
      <c r="C40" s="58" t="str">
        <f>Total!C35</f>
        <v>Nguyễn Thị Hằng</v>
      </c>
      <c r="E40" s="58">
        <f>Total!E35</f>
        <v>1982</v>
      </c>
      <c r="F40" s="58" t="str">
        <f>Total!F35</f>
        <v>TH</v>
      </c>
      <c r="G40" s="58" t="str">
        <f>Total!G35</f>
        <v>TH Mê Linh</v>
      </c>
      <c r="H40" s="58" t="str">
        <f>Total!H35</f>
        <v>Mê Linh</v>
      </c>
      <c r="I40" s="58">
        <f>Total!I35</f>
        <v>987892839</v>
      </c>
      <c r="J40" s="59" t="str">
        <f>Total!J35</f>
        <v>Giáo viên tiểu học hạng III - V07.03.08</v>
      </c>
    </row>
    <row r="41" spans="2:10" s="58" customFormat="1">
      <c r="B41" s="58">
        <f>Total!B36</f>
        <v>376</v>
      </c>
      <c r="C41" s="58" t="str">
        <f>Total!C36</f>
        <v>Lê Thị Hạnh</v>
      </c>
      <c r="E41" s="58">
        <f>Total!E36</f>
        <v>1978</v>
      </c>
      <c r="F41" s="58" t="str">
        <f>Total!F36</f>
        <v>THCS</v>
      </c>
      <c r="G41" s="58" t="str">
        <f>Total!G36</f>
        <v>THCS Tráng Việt</v>
      </c>
      <c r="H41" s="58" t="str">
        <f>Total!H36</f>
        <v>Mê Linh</v>
      </c>
      <c r="I41" s="58">
        <f>Total!I36</f>
        <v>1178029862</v>
      </c>
      <c r="J41" s="59" t="str">
        <f>Total!J36</f>
        <v>Giáo viên trung học cơ sở hạng II - V.07.04.31</v>
      </c>
    </row>
    <row r="42" spans="2:10" s="58" customFormat="1">
      <c r="B42" s="58">
        <f>Total!B37</f>
        <v>377</v>
      </c>
      <c r="C42" s="58" t="str">
        <f>Total!C37</f>
        <v>Nguyễn Thị Thắm</v>
      </c>
      <c r="E42" s="58">
        <f>Total!E37</f>
        <v>1978</v>
      </c>
      <c r="F42" s="58" t="str">
        <f>Total!F37</f>
        <v>THCS</v>
      </c>
      <c r="G42" s="58" t="str">
        <f>Total!G37</f>
        <v>THCS Tiền Phong</v>
      </c>
      <c r="H42" s="58" t="str">
        <f>Total!H37</f>
        <v>Mê Linh</v>
      </c>
      <c r="I42" s="58">
        <f>Total!I37</f>
        <v>1178010346</v>
      </c>
      <c r="J42" s="59" t="str">
        <f>Total!J37</f>
        <v>Giáo viên trung học cơ sở hạng II - V.07.04.31</v>
      </c>
    </row>
    <row r="43" spans="2:10" s="58" customFormat="1">
      <c r="B43" s="58">
        <f>Total!B38</f>
        <v>378</v>
      </c>
      <c r="C43" s="58" t="str">
        <f>Total!C38</f>
        <v>Nguyễn Thu Hường</v>
      </c>
      <c r="E43" s="58">
        <f>Total!E38</f>
        <v>1982</v>
      </c>
      <c r="F43" s="58" t="str">
        <f>Total!F38</f>
        <v>THCS</v>
      </c>
      <c r="G43" s="58" t="str">
        <f>Total!G38</f>
        <v>THCS Văn Khê</v>
      </c>
      <c r="H43" s="58" t="str">
        <f>Total!H38</f>
        <v>Mê Linh</v>
      </c>
      <c r="I43" s="58">
        <f>Total!I38</f>
        <v>26182001327</v>
      </c>
      <c r="J43" s="59" t="str">
        <f>Total!J38</f>
        <v>Giáo viên trung học cơ sở hạng II - V.07.04.31</v>
      </c>
    </row>
    <row r="44" spans="2:10" s="58" customFormat="1">
      <c r="B44" s="58">
        <f>Total!B39</f>
        <v>379</v>
      </c>
      <c r="C44" s="58" t="str">
        <f>Total!C39</f>
        <v>Nguyễn Văn Dũng</v>
      </c>
      <c r="E44" s="58">
        <f>Total!E39</f>
        <v>1979</v>
      </c>
      <c r="F44" s="58" t="str">
        <f>Total!F39</f>
        <v>THCS</v>
      </c>
      <c r="G44" s="58" t="str">
        <f>Total!G39</f>
        <v>THCS Văn Khê</v>
      </c>
      <c r="H44" s="58" t="str">
        <f>Total!H39</f>
        <v>Mê Linh</v>
      </c>
      <c r="I44" s="58">
        <f>Total!I39</f>
        <v>1079050226</v>
      </c>
      <c r="J44" s="59" t="str">
        <f>Total!J39</f>
        <v>Giáo viên trung học cơ sở hạng II - V.07.04.31</v>
      </c>
    </row>
    <row r="45" spans="2:10" s="58" customFormat="1">
      <c r="B45" s="58">
        <f>Total!B40</f>
        <v>380</v>
      </c>
      <c r="C45" s="58" t="str">
        <f>Total!C40</f>
        <v>Nguyễn Thị Tuyết</v>
      </c>
      <c r="E45" s="58">
        <f>Total!E40</f>
        <v>1981</v>
      </c>
      <c r="F45" s="58" t="str">
        <f>Total!F40</f>
        <v>THCS</v>
      </c>
      <c r="G45" s="58" t="str">
        <f>Total!G40</f>
        <v>THCS Văn Khê</v>
      </c>
      <c r="H45" s="58" t="str">
        <f>Total!H40</f>
        <v>Mê Linh</v>
      </c>
      <c r="I45" s="58">
        <f>Total!I40</f>
        <v>1181043471</v>
      </c>
      <c r="J45" s="59" t="str">
        <f>Total!J40</f>
        <v>Giáo viên trung học cơ sở hạng II - V.07.04.31</v>
      </c>
    </row>
    <row r="46" spans="2:10" s="58" customFormat="1">
      <c r="B46" s="58">
        <f>Total!B41</f>
        <v>381</v>
      </c>
      <c r="C46" s="58" t="str">
        <f>Total!C41</f>
        <v>Trần Thị Bích Hiển</v>
      </c>
      <c r="E46" s="58">
        <f>Total!E41</f>
        <v>1979</v>
      </c>
      <c r="F46" s="58" t="str">
        <f>Total!F41</f>
        <v>THCS</v>
      </c>
      <c r="G46" s="58" t="str">
        <f>Total!G41</f>
        <v>THCS Tam Đồng</v>
      </c>
      <c r="H46" s="58" t="str">
        <f>Total!H41</f>
        <v>Tiến Thắng</v>
      </c>
      <c r="I46" s="58" t="str">
        <f>Total!I41</f>
        <v>001079033488-C510532707</v>
      </c>
      <c r="J46" s="59" t="str">
        <f>Total!J41</f>
        <v>Giáo viên trung học cơ sở hạng I - V.07.04.30</v>
      </c>
    </row>
    <row r="47" spans="2:10" s="58" customFormat="1">
      <c r="B47" s="58">
        <f>Total!B42</f>
        <v>382</v>
      </c>
      <c r="C47" s="58" t="str">
        <f>Total!C42</f>
        <v>Trần Thị Thu Hằng</v>
      </c>
      <c r="E47" s="58">
        <f>Total!E42</f>
        <v>1983</v>
      </c>
      <c r="F47" s="58" t="str">
        <f>Total!F42</f>
        <v>TH</v>
      </c>
      <c r="G47" s="58" t="str">
        <f>Total!G42</f>
        <v>TH Văn Khê B</v>
      </c>
      <c r="H47" s="58" t="str">
        <f>Total!H42</f>
        <v xml:space="preserve">Mê Linh </v>
      </c>
      <c r="I47" s="58" t="str">
        <f>Total!I42</f>
        <v>001176033068</v>
      </c>
      <c r="J47" s="59" t="str">
        <f>Total!J42</f>
        <v>Giáo viên trung học cơ sở hạng II - V.07.04.31</v>
      </c>
    </row>
    <row r="48" spans="2:10" s="58" customFormat="1">
      <c r="B48" s="58">
        <f>Total!B43</f>
        <v>383</v>
      </c>
      <c r="C48" s="58" t="str">
        <f>Total!C43</f>
        <v>Nguyễn Thị Kim Anh</v>
      </c>
      <c r="E48" s="58">
        <f>Total!E43</f>
        <v>1984</v>
      </c>
      <c r="F48" s="58" t="str">
        <f>Total!F43</f>
        <v>THCS</v>
      </c>
      <c r="G48" s="58" t="str">
        <f>Total!G43</f>
        <v>THCS Tự Lập</v>
      </c>
      <c r="H48" s="58" t="str">
        <f>Total!H43</f>
        <v>Tiến Thắng</v>
      </c>
      <c r="I48" s="58" t="str">
        <f>Total!I43</f>
        <v>001075010580</v>
      </c>
      <c r="J48" s="59" t="str">
        <f>Total!J43</f>
        <v>Giáo viên trung học cơ sở hạng II - V.07.04.31</v>
      </c>
    </row>
    <row r="49" spans="2:10" s="58" customFormat="1">
      <c r="B49" s="58">
        <f>Total!B44</f>
        <v>384</v>
      </c>
      <c r="C49" s="58" t="str">
        <f>Total!C44</f>
        <v>Nguyễn Minh Dung</v>
      </c>
      <c r="E49" s="58">
        <f>Total!E44</f>
        <v>1979</v>
      </c>
      <c r="F49" s="58" t="str">
        <f>Total!F44</f>
        <v>THCS</v>
      </c>
      <c r="G49" s="58" t="str">
        <f>Total!G44</f>
        <v>THCS Kim Hoa</v>
      </c>
      <c r="H49" s="58" t="str">
        <f>Total!H44</f>
        <v>Quang Minh</v>
      </c>
      <c r="I49" s="58" t="str">
        <f>Total!I44</f>
        <v>‘001177017369</v>
      </c>
      <c r="J49" s="59" t="str">
        <f>Total!J44</f>
        <v>Giáo viên trung học cơ sở hạng II - V.07.04.31</v>
      </c>
    </row>
    <row r="50" spans="2:10" s="58" customFormat="1">
      <c r="B50" s="58">
        <f>Total!B45</f>
        <v>385</v>
      </c>
      <c r="C50" s="58" t="str">
        <f>Total!C45</f>
        <v>Nguyễn Văn Khiêm</v>
      </c>
      <c r="E50" s="58">
        <f>Total!E45</f>
        <v>1977</v>
      </c>
      <c r="F50" s="58" t="str">
        <f>Total!F45</f>
        <v>THCS</v>
      </c>
      <c r="G50" s="58" t="str">
        <f>Total!G45</f>
        <v>THCS Chu Phan</v>
      </c>
      <c r="H50" s="58" t="str">
        <f>Total!H45</f>
        <v>Yên Lãng</v>
      </c>
      <c r="I50" s="58" t="str">
        <f>Total!I45</f>
        <v>001175013832</v>
      </c>
      <c r="J50" s="59" t="str">
        <f>Total!J45</f>
        <v>Giáo viên trung học cơ sở hạng II - V.07.04.31</v>
      </c>
    </row>
    <row r="51" spans="2:10" s="58" customFormat="1">
      <c r="B51" s="58">
        <f>Total!B46</f>
        <v>386</v>
      </c>
      <c r="C51" s="58" t="str">
        <f>Total!C46</f>
        <v>Nguyễn Thị Hoa</v>
      </c>
      <c r="E51" s="58">
        <f>Total!E46</f>
        <v>1996</v>
      </c>
      <c r="F51" s="58" t="str">
        <f>Total!F46</f>
        <v>TH</v>
      </c>
      <c r="G51" s="58" t="str">
        <f>Total!G46</f>
        <v>TH An Dương</v>
      </c>
      <c r="H51" s="58" t="str">
        <f>Total!H46</f>
        <v xml:space="preserve">Hồng Hà </v>
      </c>
      <c r="I51" s="58" t="str">
        <f>Total!I46</f>
        <v>026179008039</v>
      </c>
      <c r="J51" s="59" t="str">
        <f>Total!J46</f>
        <v>Giáo viên trung học cơ sở hạng II - V.07.04.31</v>
      </c>
    </row>
    <row r="52" spans="2:10" s="58" customFormat="1">
      <c r="B52" s="58">
        <f>Total!B47</f>
        <v>387</v>
      </c>
      <c r="C52" s="58" t="str">
        <f>Total!C47</f>
        <v>Quách Thị Thanh Trà</v>
      </c>
      <c r="E52" s="58">
        <f>Total!E47</f>
        <v>1979</v>
      </c>
      <c r="F52" s="58" t="str">
        <f>Total!F47</f>
        <v>THPT</v>
      </c>
      <c r="G52" s="58" t="str">
        <f>Total!G47</f>
        <v>THPT Minh Phú</v>
      </c>
      <c r="H52" s="58" t="str">
        <f>Total!H47</f>
        <v>Kim Anh</v>
      </c>
      <c r="I52" s="58" t="str">
        <f>Total!I47</f>
        <v>001176004956</v>
      </c>
      <c r="J52" s="59" t="str">
        <f>Total!J47</f>
        <v>Giáo viên trung học phổ thông hạng III - V.07.05.15</v>
      </c>
    </row>
    <row r="53" spans="2:10" s="58" customFormat="1">
      <c r="B53" s="58">
        <f>Total!B48</f>
        <v>388</v>
      </c>
      <c r="C53" s="58" t="str">
        <f>Total!C48</f>
        <v>Lê Thị Dung</v>
      </c>
      <c r="E53" s="58">
        <f>Total!E48</f>
        <v>1977</v>
      </c>
      <c r="F53" s="58" t="str">
        <f>Total!F48</f>
        <v>THPT</v>
      </c>
      <c r="G53" s="58" t="str">
        <f>Total!G48</f>
        <v>THPT Sóc Sơn</v>
      </c>
      <c r="H53" s="58" t="str">
        <f>Total!H48</f>
        <v>Sóc Sơn</v>
      </c>
      <c r="I53" s="58" t="str">
        <f>Total!I48</f>
        <v>001077024738</v>
      </c>
      <c r="J53" s="59" t="str">
        <f>Total!J48</f>
        <v>Giáo viên trung học cơ sở hạng II - V.07.04.31</v>
      </c>
    </row>
    <row r="54" spans="2:10" s="58" customFormat="1">
      <c r="B54" s="58">
        <f>Total!B49</f>
        <v>389</v>
      </c>
      <c r="C54" s="58" t="str">
        <f>Total!C49</f>
        <v>Trần Thị Huệ</v>
      </c>
      <c r="E54" s="58">
        <f>Total!E49</f>
        <v>1976</v>
      </c>
      <c r="F54" s="58" t="str">
        <f>Total!F49</f>
        <v>THPT</v>
      </c>
      <c r="G54" s="58" t="str">
        <f>Total!G49</f>
        <v>THPT Trung Giã</v>
      </c>
      <c r="H54" s="58" t="str">
        <f>Total!H49</f>
        <v>Trung Giã</v>
      </c>
      <c r="I54" s="58" t="str">
        <f>Total!I49</f>
        <v>001177014103</v>
      </c>
      <c r="J54" s="59" t="str">
        <f>Total!J49</f>
        <v>Giáo viên trung học phổ thông hạng III - V.07.05.15</v>
      </c>
    </row>
    <row r="55" spans="2:10" s="58" customFormat="1">
      <c r="B55" s="58">
        <f>Total!B50</f>
        <v>390</v>
      </c>
      <c r="C55" s="58" t="str">
        <f>Total!C50</f>
        <v>Nguyễn Ngọc Tuân</v>
      </c>
      <c r="E55" s="58">
        <f>Total!E50</f>
        <v>1975</v>
      </c>
      <c r="F55" s="58" t="str">
        <f>Total!F50</f>
        <v>THPT</v>
      </c>
      <c r="G55" s="58" t="str">
        <f>Total!G50</f>
        <v>THPT Minh Phú</v>
      </c>
      <c r="H55" s="58" t="str">
        <f>Total!H50</f>
        <v>Kim Anh</v>
      </c>
      <c r="I55" s="58" t="str">
        <f>Total!I50</f>
        <v>001178022441</v>
      </c>
      <c r="J55" s="59" t="str">
        <f>Total!J50</f>
        <v>Giáo viên trung học cơ sở hạng II - V.07.04.31</v>
      </c>
    </row>
    <row r="56" spans="2:10" s="58" customFormat="1">
      <c r="B56" s="58">
        <f>Total!B51</f>
        <v>391</v>
      </c>
      <c r="C56" s="58" t="str">
        <f>Total!C51</f>
        <v>Đàm Thị Tú Uyên</v>
      </c>
      <c r="E56" s="58">
        <f>Total!E51</f>
        <v>1978</v>
      </c>
      <c r="F56" s="58" t="str">
        <f>Total!F51</f>
        <v>THCS</v>
      </c>
      <c r="G56" s="58" t="str">
        <f>Total!G51</f>
        <v>THCS Phú Minh</v>
      </c>
      <c r="H56" s="58" t="str">
        <f>Total!H51</f>
        <v>Nội Bài</v>
      </c>
      <c r="I56" s="58" t="str">
        <f>Total!I51</f>
        <v>001179000066</v>
      </c>
      <c r="J56" s="59" t="str">
        <f>Total!J51</f>
        <v>Giáo viên trung học cơ sở hạng III - V.07.04.32</v>
      </c>
    </row>
    <row r="57" spans="2:10" s="58" customFormat="1">
      <c r="B57" s="58">
        <f>Total!B52</f>
        <v>392</v>
      </c>
      <c r="C57" s="58" t="str">
        <f>Total!C52</f>
        <v>Hoàng Thị Oanh</v>
      </c>
      <c r="E57" s="58">
        <f>Total!E52</f>
        <v>1976</v>
      </c>
      <c r="F57" s="58" t="str">
        <f>Total!F52</f>
        <v>THCS</v>
      </c>
      <c r="G57" s="58" t="str">
        <f>Total!G52</f>
        <v>THCS Phú Minh</v>
      </c>
      <c r="H57" s="58" t="str">
        <f>Total!H52</f>
        <v>Nội Bài</v>
      </c>
      <c r="I57" s="58" t="str">
        <f>Total!I52</f>
        <v>001194046711</v>
      </c>
      <c r="J57" s="59" t="str">
        <f>Total!J52</f>
        <v>Giáo viên trung học cơ sở hạng II - V.07.04.31</v>
      </c>
    </row>
    <row r="58" spans="2:10" s="58" customFormat="1">
      <c r="B58" s="58">
        <f>Total!B53</f>
        <v>393</v>
      </c>
      <c r="C58" s="58" t="str">
        <f>Total!C53</f>
        <v>Nguyễn Thị Hồng Thắm</v>
      </c>
      <c r="E58" s="58">
        <f>Total!E53</f>
        <v>1977</v>
      </c>
      <c r="F58" s="58" t="str">
        <f>Total!F53</f>
        <v>THCS</v>
      </c>
      <c r="G58" s="58" t="str">
        <f>Total!G53</f>
        <v>THCS Nam Sơn</v>
      </c>
      <c r="H58" s="58" t="str">
        <f>Total!H53</f>
        <v>Trung Giã</v>
      </c>
      <c r="I58" s="58" t="str">
        <f>Total!I53</f>
        <v>‘001178001577</v>
      </c>
      <c r="J58" s="59" t="str">
        <f>Total!J53</f>
        <v>Giáo viên trung học cơ sở hạng II - V.07.04.31</v>
      </c>
    </row>
    <row r="59" spans="2:10" s="58" customFormat="1">
      <c r="B59" s="58">
        <f>Total!B54</f>
        <v>394</v>
      </c>
      <c r="C59" s="58" t="str">
        <f>Total!C54</f>
        <v>Tạ Quang Nguyên</v>
      </c>
      <c r="E59" s="58">
        <f>Total!E54</f>
        <v>1975</v>
      </c>
      <c r="F59" s="58" t="str">
        <f>Total!F54</f>
        <v>THCS</v>
      </c>
      <c r="G59" s="58" t="str">
        <f>Total!G54</f>
        <v>THCS Hồng Kỳ</v>
      </c>
      <c r="H59" s="58" t="str">
        <f>Total!H54</f>
        <v>Trung Giã</v>
      </c>
      <c r="I59" s="58" t="str">
        <f>Total!I54</f>
        <v>026176000273</v>
      </c>
      <c r="J59" s="59" t="str">
        <f>Total!J54</f>
        <v>Giáo viên trung học cơ sở hạng II - V.07.04.31</v>
      </c>
    </row>
    <row r="60" spans="2:10" s="58" customFormat="1">
      <c r="B60" s="58">
        <f>Total!B55</f>
        <v>395</v>
      </c>
      <c r="C60" s="58" t="str">
        <f>Total!C55</f>
        <v>Trịnh Thị Thu Hường</v>
      </c>
      <c r="E60" s="58">
        <f>Total!E55</f>
        <v>1975</v>
      </c>
      <c r="F60" s="58" t="str">
        <f>Total!F55</f>
        <v>THCS</v>
      </c>
      <c r="G60" s="58" t="str">
        <f>Total!G55</f>
        <v>THCS Trung Giã</v>
      </c>
      <c r="H60" s="58" t="str">
        <f>Total!H55</f>
        <v>Trung Giã</v>
      </c>
      <c r="I60" s="58" t="str">
        <f>Total!I55</f>
        <v>001179047464</v>
      </c>
      <c r="J60" s="59" t="str">
        <f>Total!J55</f>
        <v>Giáo viên trung học phổ thông hạng III - V.07.05.15</v>
      </c>
    </row>
    <row r="61" spans="2:10" s="58" customFormat="1">
      <c r="B61" s="58">
        <f>Total!B56</f>
        <v>739</v>
      </c>
      <c r="C61" s="58" t="str">
        <f>Total!C56</f>
        <v>Trần Thị Trang</v>
      </c>
      <c r="E61" s="58">
        <f>Total!E56</f>
        <v>1987</v>
      </c>
      <c r="F61" s="58" t="str">
        <f>Total!F56</f>
        <v>THPT</v>
      </c>
      <c r="G61" s="58" t="str">
        <f>Total!G56</f>
        <v>THPT Ngọc Tảo</v>
      </c>
      <c r="H61" s="58" t="str">
        <f>Total!H56</f>
        <v>Phúc Thọ</v>
      </c>
      <c r="I61" s="58">
        <f>Total!I56</f>
        <v>1187041867</v>
      </c>
      <c r="J61" s="59" t="str">
        <f>Total!J56</f>
        <v>Giáo viên trung học phổ thông hạng III - V.07.05.15</v>
      </c>
    </row>
    <row r="62" spans="2:10" s="58" customFormat="1">
      <c r="B62" s="58">
        <f>Total!B57</f>
        <v>16</v>
      </c>
      <c r="C62" s="58" t="str">
        <f>Total!C57</f>
        <v>Nguyễn Thu Trang</v>
      </c>
      <c r="E62" s="58">
        <f>Total!E57</f>
        <v>1979</v>
      </c>
      <c r="F62" s="58" t="str">
        <f>Total!F57</f>
        <v>THCS</v>
      </c>
      <c r="G62" s="58" t="str">
        <f>Total!G57</f>
        <v>THCS Nguyễn Công Trứ</v>
      </c>
      <c r="H62" s="58" t="str">
        <f>Total!H57</f>
        <v>Ba Đình</v>
      </c>
      <c r="I62" s="58">
        <f>Total!I57</f>
        <v>1179000066</v>
      </c>
      <c r="J62" s="59" t="str">
        <f>Total!J57</f>
        <v>Giáo viên trung học cơ sở hạng III - V.07.04.32</v>
      </c>
    </row>
    <row r="63" spans="2:10" s="58" customFormat="1">
      <c r="B63" s="58">
        <f>Total!B58</f>
        <v>398</v>
      </c>
      <c r="C63" s="58" t="str">
        <f>Total!C58</f>
        <v>Nguyễn Thị Bích Ngọc</v>
      </c>
      <c r="E63" s="58">
        <f>Total!E58</f>
        <v>1976</v>
      </c>
      <c r="F63" s="58" t="str">
        <f>Total!F58</f>
        <v>THCS</v>
      </c>
      <c r="G63" s="58" t="str">
        <f>Total!G58</f>
        <v>THCS Mai Đình</v>
      </c>
      <c r="H63" s="58" t="str">
        <f>Total!H58</f>
        <v>Sóc Sơn</v>
      </c>
      <c r="I63" s="58">
        <f>Total!I58</f>
        <v>1176033068</v>
      </c>
      <c r="J63" s="59" t="str">
        <f>Total!J58</f>
        <v>Giáo viên trung học cơ sở hạng II - V.07.04.31</v>
      </c>
    </row>
    <row r="64" spans="2:10" s="58" customFormat="1">
      <c r="B64" s="58">
        <f>Total!B59</f>
        <v>399</v>
      </c>
      <c r="C64" s="58" t="str">
        <f>Total!C59</f>
        <v>Bùi Thị Mai Thanh</v>
      </c>
      <c r="E64" s="58">
        <f>Total!E59</f>
        <v>1975</v>
      </c>
      <c r="F64" s="58" t="str">
        <f>Total!F59</f>
        <v>THCS</v>
      </c>
      <c r="G64" s="58" t="str">
        <f>Total!G59</f>
        <v>THCS Nguyễn Du</v>
      </c>
      <c r="H64" s="58" t="str">
        <f>Total!H59</f>
        <v>Sóc Sơn</v>
      </c>
      <c r="I64" s="58">
        <f>Total!I59</f>
        <v>1175032774</v>
      </c>
      <c r="J64" s="59" t="str">
        <f>Total!J59</f>
        <v>Giáo viên trung học cơ sở hạng II - V.07.04.31</v>
      </c>
    </row>
    <row r="65" spans="2:10" s="58" customFormat="1">
      <c r="B65" s="58">
        <f>Total!B60</f>
        <v>400</v>
      </c>
      <c r="C65" s="58" t="str">
        <f>Total!C60</f>
        <v>Trần Thị Tâm</v>
      </c>
      <c r="E65" s="58">
        <f>Total!E60</f>
        <v>1978</v>
      </c>
      <c r="F65" s="58" t="str">
        <f>Total!F60</f>
        <v>THCS</v>
      </c>
      <c r="G65" s="58" t="str">
        <f>Total!G60</f>
        <v>THCS Tiên Dược</v>
      </c>
      <c r="H65" s="58" t="str">
        <f>Total!H60</f>
        <v>Sóc Sơn</v>
      </c>
      <c r="I65" s="58">
        <f>Total!I60</f>
        <v>1178001577</v>
      </c>
      <c r="J65" s="59" t="str">
        <f>Total!J60</f>
        <v>Giáo viên trung học cơ sở hạng II - V.07.04.31</v>
      </c>
    </row>
    <row r="66" spans="2:10" s="58" customFormat="1">
      <c r="B66" s="58">
        <f>Total!B61</f>
        <v>401</v>
      </c>
      <c r="C66" s="58" t="str">
        <f>Total!C61</f>
        <v>Trần Mai Hương</v>
      </c>
      <c r="E66" s="58">
        <f>Total!E61</f>
        <v>1975</v>
      </c>
      <c r="F66" s="58" t="str">
        <f>Total!F61</f>
        <v>THCS</v>
      </c>
      <c r="G66" s="58" t="str">
        <f>Total!G61</f>
        <v>THCS Phù Linh</v>
      </c>
      <c r="H66" s="58" t="str">
        <f>Total!H61</f>
        <v>Sóc Sơn</v>
      </c>
      <c r="I66" s="58" t="str">
        <f>Total!I61</f>
        <v>001174036478</v>
      </c>
      <c r="J66" s="59" t="str">
        <f>Total!J61</f>
        <v>Giáo viên trung học cơ sở hạng II - V.07.04.31</v>
      </c>
    </row>
    <row r="67" spans="2:10" s="58" customFormat="1">
      <c r="B67" s="58">
        <f>Total!B62</f>
        <v>402</v>
      </c>
      <c r="C67" s="58" t="str">
        <f>Total!C62</f>
        <v>Phạm Thị Mai Phúc</v>
      </c>
      <c r="E67" s="58">
        <f>Total!E62</f>
        <v>1976</v>
      </c>
      <c r="F67" s="58" t="str">
        <f>Total!F62</f>
        <v>THCS</v>
      </c>
      <c r="G67" s="58" t="str">
        <f>Total!G62</f>
        <v>THCS Phù Linh</v>
      </c>
      <c r="H67" s="58" t="str">
        <f>Total!H62</f>
        <v>Phù Linh</v>
      </c>
      <c r="I67" s="58" t="str">
        <f>Total!I62</f>
        <v>001077036817</v>
      </c>
      <c r="J67" s="59" t="str">
        <f>Total!J62</f>
        <v>Giáo viên trung học cơ sở hạng II - V.07.04.31</v>
      </c>
    </row>
    <row r="68" spans="2:10" s="58" customFormat="1">
      <c r="B68" s="58">
        <f>Total!B63</f>
        <v>403</v>
      </c>
      <c r="C68" s="58" t="str">
        <f>Total!C63</f>
        <v>Nguyễn Thị Hoà</v>
      </c>
      <c r="E68" s="58">
        <f>Total!E63</f>
        <v>1994</v>
      </c>
      <c r="F68" s="58" t="str">
        <f>Total!F63</f>
        <v>THCS</v>
      </c>
      <c r="G68" s="58" t="str">
        <f>Total!G63</f>
        <v>THCS Vân Hà</v>
      </c>
      <c r="H68" s="58" t="str">
        <f>Total!H63</f>
        <v>Thư Lâm</v>
      </c>
      <c r="I68" s="58" t="str">
        <f>Total!I63</f>
        <v>001175023937</v>
      </c>
      <c r="J68" s="59" t="str">
        <f>Total!J63</f>
        <v>Giáo viên trung học cơ sở hạng II - V.07.04.31</v>
      </c>
    </row>
    <row r="69" spans="2:10" s="58" customFormat="1">
      <c r="B69" s="58">
        <f>Total!B64</f>
        <v>404</v>
      </c>
      <c r="C69" s="58" t="str">
        <f>Total!C64</f>
        <v>Nguyễn Thị Huệ</v>
      </c>
      <c r="E69" s="58">
        <f>Total!E64</f>
        <v>1979</v>
      </c>
      <c r="F69" s="58" t="str">
        <f>Total!F64</f>
        <v>THCS</v>
      </c>
      <c r="G69" s="58" t="str">
        <f>Total!G64</f>
        <v>THCS Dục Tú</v>
      </c>
      <c r="H69" s="58" t="str">
        <f>Total!H64</f>
        <v>Đông Anh</v>
      </c>
      <c r="I69" s="58" t="str">
        <f>Total!I64</f>
        <v>001194006005</v>
      </c>
      <c r="J69" s="59" t="str">
        <f>Total!J64</f>
        <v>Giáo viên trung học cơ sở hạng III - V.07.04.32</v>
      </c>
    </row>
    <row r="70" spans="2:10" s="58" customFormat="1">
      <c r="B70" s="58">
        <f>Total!B65</f>
        <v>405</v>
      </c>
      <c r="C70" s="58" t="str">
        <f>Total!C65</f>
        <v>Lê Anh Tuấn</v>
      </c>
      <c r="E70" s="58">
        <f>Total!E65</f>
        <v>1979</v>
      </c>
      <c r="F70" s="58" t="str">
        <f>Total!F65</f>
        <v>THCS</v>
      </c>
      <c r="G70" s="58" t="str">
        <f>Total!G65</f>
        <v>THCS Đông Thái</v>
      </c>
      <c r="H70" s="58" t="str">
        <f>Total!H65</f>
        <v>Tây Hồ</v>
      </c>
      <c r="I70" s="58" t="str">
        <f>Total!I65</f>
        <v>008179000026</v>
      </c>
      <c r="J70" s="59" t="str">
        <f>Total!J65</f>
        <v>Giáo viên trung học cơ sở hạng II - V.07.04.31</v>
      </c>
    </row>
    <row r="71" spans="2:10" s="58" customFormat="1">
      <c r="B71" s="58">
        <f>Total!B66</f>
        <v>406</v>
      </c>
      <c r="C71" s="58" t="str">
        <f>Total!C66</f>
        <v>Đào Thị Thúy Hà</v>
      </c>
      <c r="E71" s="58">
        <f>Total!E66</f>
        <v>1979</v>
      </c>
      <c r="F71" s="58" t="str">
        <f>Total!F66</f>
        <v>THCS</v>
      </c>
      <c r="G71" s="58" t="str">
        <f>Total!G66</f>
        <v>THCS Vĩnh Ngọc</v>
      </c>
      <c r="H71" s="58" t="str">
        <f>Total!H66</f>
        <v xml:space="preserve">Vĩnh Thanh </v>
      </c>
      <c r="I71" s="58" t="str">
        <f>Total!I66</f>
        <v>001079024981</v>
      </c>
      <c r="J71" s="59" t="str">
        <f>Total!J66</f>
        <v>Giáo viên trung học cơ sở hạng II - V.07.04.31</v>
      </c>
    </row>
    <row r="72" spans="2:10" s="58" customFormat="1">
      <c r="B72" s="58">
        <f>Total!B67</f>
        <v>407</v>
      </c>
      <c r="C72" s="58" t="str">
        <f>Total!C67</f>
        <v>Nguyễn Thị Lan Anh</v>
      </c>
      <c r="E72" s="58">
        <f>Total!E67</f>
        <v>1978</v>
      </c>
      <c r="F72" s="58" t="str">
        <f>Total!F67</f>
        <v>THCS</v>
      </c>
      <c r="G72" s="58" t="str">
        <f>Total!G67</f>
        <v>THCS Đông Hội</v>
      </c>
      <c r="H72" s="58" t="str">
        <f>Total!H67</f>
        <v>Đông Anh</v>
      </c>
      <c r="I72" s="58" t="str">
        <f>Total!I67</f>
        <v>001184039143</v>
      </c>
      <c r="J72" s="59" t="str">
        <f>Total!J67</f>
        <v>Giáo viên tiểu học hạng III – V.07.03.29</v>
      </c>
    </row>
    <row r="73" spans="2:10" s="58" customFormat="1">
      <c r="B73" s="58">
        <f>Total!B68</f>
        <v>408</v>
      </c>
      <c r="C73" s="58" t="str">
        <f>Total!C68</f>
        <v>Nguyễn Ngọc Quân</v>
      </c>
      <c r="E73" s="58">
        <f>Total!E68</f>
        <v>1974</v>
      </c>
      <c r="F73" s="58" t="str">
        <f>Total!F68</f>
        <v>THCS</v>
      </c>
      <c r="G73" s="58" t="str">
        <f>Total!G68</f>
        <v>THCS Thụy Lâm</v>
      </c>
      <c r="H73" s="58" t="str">
        <f>Total!H68</f>
        <v>Phúc Thịnh</v>
      </c>
      <c r="I73" s="58" t="str">
        <f>Total!I68</f>
        <v>001177046284</v>
      </c>
      <c r="J73" s="59" t="str">
        <f>Total!J68</f>
        <v>Giáo viên trung học phổ thông hạng III - V.07.05.15</v>
      </c>
    </row>
    <row r="74" spans="2:10" s="58" customFormat="1">
      <c r="B74" s="58">
        <f>Total!B69</f>
        <v>409</v>
      </c>
      <c r="C74" s="58" t="str">
        <f>Total!C69</f>
        <v>Ngô Văn Việt</v>
      </c>
      <c r="E74" s="58">
        <f>Total!E69</f>
        <v>1977</v>
      </c>
      <c r="F74" s="58" t="str">
        <f>Total!F69</f>
        <v>THCS</v>
      </c>
      <c r="G74" s="58" t="str">
        <f>Total!G69</f>
        <v>THCS An Dương Vương</v>
      </c>
      <c r="H74" s="58" t="str">
        <f>Total!H69</f>
        <v>Đông Anh</v>
      </c>
      <c r="I74" s="58" t="str">
        <f>Total!I69</f>
        <v>001180044201</v>
      </c>
      <c r="J74" s="59" t="str">
        <f>Total!J69</f>
        <v>Giáo viên tiểu học hạng III – V.07.03.29</v>
      </c>
    </row>
    <row r="75" spans="2:10" s="58" customFormat="1">
      <c r="B75" s="58">
        <f>Total!B70</f>
        <v>410</v>
      </c>
      <c r="C75" s="58" t="str">
        <f>Total!C70</f>
        <v>Lê Thị Hương</v>
      </c>
      <c r="E75" s="58">
        <f>Total!E70</f>
        <v>1976</v>
      </c>
      <c r="F75" s="58" t="str">
        <f>Total!F70</f>
        <v>THCS</v>
      </c>
      <c r="G75" s="58" t="str">
        <f>Total!G70</f>
        <v>THCS Kim Chung</v>
      </c>
      <c r="H75" s="58" t="str">
        <f>Total!H70</f>
        <v xml:space="preserve">Thiên Lộc </v>
      </c>
      <c r="I75" s="58" t="str">
        <f>Total!I70</f>
        <v>001178021999</v>
      </c>
      <c r="J75" s="59" t="str">
        <f>Total!J70</f>
        <v>Giáo viên trung học cơ sở hạng II - V.07.04.31</v>
      </c>
    </row>
    <row r="76" spans="2:10" s="58" customFormat="1">
      <c r="B76" s="58">
        <f>Total!B71</f>
        <v>411</v>
      </c>
      <c r="C76" s="58" t="str">
        <f>Total!C71</f>
        <v>Phạm Thị Chính</v>
      </c>
      <c r="E76" s="58">
        <f>Total!E71</f>
        <v>1975</v>
      </c>
      <c r="F76" s="58" t="str">
        <f>Total!F71</f>
        <v>THCS</v>
      </c>
      <c r="G76" s="58" t="str">
        <f>Total!G71</f>
        <v>THCS Cổ Loa</v>
      </c>
      <c r="H76" s="58" t="str">
        <f>Total!H71</f>
        <v>Đông Anh</v>
      </c>
      <c r="I76" s="58" t="str">
        <f>Total!I71</f>
        <v>001194046711</v>
      </c>
      <c r="J76" s="59" t="str">
        <f>Total!J71</f>
        <v>Giáo viên trung học cơ sở hạng II - V.07.04.31</v>
      </c>
    </row>
    <row r="77" spans="2:10" s="58" customFormat="1">
      <c r="B77" s="58">
        <f>Total!B72</f>
        <v>412</v>
      </c>
      <c r="C77" s="58" t="str">
        <f>Total!C72</f>
        <v>Lê Thị Mai Lan</v>
      </c>
      <c r="E77" s="58">
        <f>Total!E72</f>
        <v>1974</v>
      </c>
      <c r="F77" s="58" t="str">
        <f>Total!F72</f>
        <v>THCS</v>
      </c>
      <c r="G77" s="58" t="str">
        <f>Total!G72</f>
        <v>THCS Tiên Dương</v>
      </c>
      <c r="H77" s="58" t="str">
        <f>Total!H72</f>
        <v>Đông Anh</v>
      </c>
      <c r="I77" s="58" t="str">
        <f>Total!I72</f>
        <v>001196039783</v>
      </c>
      <c r="J77" s="59" t="str">
        <f>Total!J72</f>
        <v>Giáo viên tiểu học hạng III – V.07.03.29</v>
      </c>
    </row>
    <row r="78" spans="2:10" s="58" customFormat="1">
      <c r="B78" s="58">
        <f>Total!B73</f>
        <v>413</v>
      </c>
      <c r="C78" s="58" t="str">
        <f>Total!C73</f>
        <v>Phạm Thị Cúc</v>
      </c>
      <c r="E78" s="58">
        <f>Total!E73</f>
        <v>1989</v>
      </c>
      <c r="F78" s="58" t="str">
        <f>Total!F73</f>
        <v>THPT</v>
      </c>
      <c r="G78" s="58" t="str">
        <f>Total!G73</f>
        <v>THPT Cổ Loa</v>
      </c>
      <c r="H78" s="58" t="str">
        <f>Total!H73</f>
        <v>Đông Anh</v>
      </c>
      <c r="I78" s="58" t="str">
        <f>Total!I73</f>
        <v>001189011826</v>
      </c>
      <c r="J78" s="59" t="str">
        <f>Total!J73</f>
        <v>Giáo viên trung học phổ thông hạng III - V.07.05.15</v>
      </c>
    </row>
    <row r="79" spans="2:10" s="58" customFormat="1">
      <c r="B79" s="58">
        <f>Total!B74</f>
        <v>414</v>
      </c>
      <c r="C79" s="58" t="str">
        <f>Total!C74</f>
        <v>Chử Thị Thu Trang</v>
      </c>
      <c r="E79" s="58">
        <f>Total!E74</f>
        <v>1978</v>
      </c>
      <c r="F79" s="58" t="str">
        <f>Total!F74</f>
        <v>THPT</v>
      </c>
      <c r="G79" s="58" t="str">
        <f>Total!G74</f>
        <v>THPT Cổ Loa</v>
      </c>
      <c r="H79" s="58" t="str">
        <f>Total!H74</f>
        <v>Đông Anh</v>
      </c>
      <c r="I79" s="58">
        <f>Total!I74</f>
        <v>1178002480</v>
      </c>
      <c r="J79" s="59" t="str">
        <f>Total!J74</f>
        <v>Giáo viên trung học phổ thông hạng III - V.07.05.15</v>
      </c>
    </row>
    <row r="80" spans="2:10" s="58" customFormat="1">
      <c r="B80" s="58">
        <f>Total!B75</f>
        <v>415</v>
      </c>
      <c r="C80" s="58" t="str">
        <f>Total!C75</f>
        <v>Lê Thị Hải</v>
      </c>
      <c r="E80" s="58">
        <f>Total!E75</f>
        <v>1977</v>
      </c>
      <c r="F80" s="58" t="str">
        <f>Total!F75</f>
        <v>THPT</v>
      </c>
      <c r="G80" s="58" t="str">
        <f>Total!G75</f>
        <v>THPT Liên Hà</v>
      </c>
      <c r="H80" s="58" t="str">
        <f>Total!H75</f>
        <v>Thư Lâm</v>
      </c>
      <c r="I80" s="58">
        <f>Total!I75</f>
        <v>1184039143</v>
      </c>
      <c r="J80" s="59" t="str">
        <f>Total!J75</f>
        <v>Giáo viên tiểu học hạng III – V.07.03.29</v>
      </c>
    </row>
    <row r="81" spans="2:10" s="58" customFormat="1">
      <c r="B81" s="58">
        <f>Total!B76</f>
        <v>416</v>
      </c>
      <c r="C81" s="58" t="str">
        <f>Total!C76</f>
        <v>Nguyễn Thị Thu Hương</v>
      </c>
      <c r="E81" s="58">
        <f>Total!E76</f>
        <v>1976</v>
      </c>
      <c r="F81" s="58" t="str">
        <f>Total!F76</f>
        <v>THPT</v>
      </c>
      <c r="G81" s="58" t="str">
        <f>Total!G76</f>
        <v>THPT Liên Hà</v>
      </c>
      <c r="H81" s="58" t="str">
        <f>Total!H76</f>
        <v>Thư Lâm</v>
      </c>
      <c r="I81" s="58">
        <f>Total!I76</f>
        <v>27176011754</v>
      </c>
      <c r="J81" s="59" t="str">
        <f>Total!J76</f>
        <v>Giáo viên trung học phổ thông hạng III - V.07.05.15</v>
      </c>
    </row>
    <row r="82" spans="2:10" s="58" customFormat="1">
      <c r="B82" s="58">
        <f>Total!B77</f>
        <v>417</v>
      </c>
      <c r="C82" s="58" t="str">
        <f>Total!C77</f>
        <v>Phạm Quỳnh Liên</v>
      </c>
      <c r="E82" s="58">
        <f>Total!E77</f>
        <v>1996</v>
      </c>
      <c r="F82" s="58" t="str">
        <f>Total!F77</f>
        <v>TH</v>
      </c>
      <c r="G82" s="58" t="str">
        <f>Total!G77</f>
        <v>TH Võng La</v>
      </c>
      <c r="H82" s="58" t="str">
        <f>Total!H77</f>
        <v>Thiên Lộc</v>
      </c>
      <c r="I82" s="58">
        <f>Total!I77</f>
        <v>1196039783</v>
      </c>
      <c r="J82" s="59" t="str">
        <f>Total!J77</f>
        <v>Giáo viên tiểu học hạng III – V.07.03.29</v>
      </c>
    </row>
    <row r="83" spans="2:10" s="58" customFormat="1">
      <c r="B83" s="58">
        <f>Total!B78</f>
        <v>418</v>
      </c>
      <c r="C83" s="58" t="str">
        <f>Total!C78</f>
        <v>Dương Thị Thu Phương</v>
      </c>
      <c r="E83" s="58">
        <f>Total!E78</f>
        <v>1993</v>
      </c>
      <c r="F83" s="58" t="str">
        <f>Total!F78</f>
        <v>TH</v>
      </c>
      <c r="G83" s="58" t="str">
        <f>Total!G78</f>
        <v>TH Thị Trấn</v>
      </c>
      <c r="H83" s="58" t="str">
        <f>Total!H78</f>
        <v>Thư Lâm</v>
      </c>
      <c r="I83" s="58">
        <f>Total!I78</f>
        <v>1193046294</v>
      </c>
      <c r="J83" s="59" t="str">
        <f>Total!J78</f>
        <v>Giáo viên tiểu học hạng III – V.07.03.29</v>
      </c>
    </row>
    <row r="84" spans="2:10" s="58" customFormat="1">
      <c r="B84" s="58">
        <f>Total!B79</f>
        <v>419</v>
      </c>
      <c r="C84" s="58" t="str">
        <f>Total!C79</f>
        <v>Nguyễn Thị Hồng Huệ</v>
      </c>
      <c r="E84" s="58">
        <f>Total!E79</f>
        <v>1980</v>
      </c>
      <c r="F84" s="58" t="str">
        <f>Total!F79</f>
        <v>TH</v>
      </c>
      <c r="G84" s="58" t="str">
        <f>Total!G79</f>
        <v>TH Kim Nỗ</v>
      </c>
      <c r="H84" s="58" t="str">
        <f>Total!H79</f>
        <v>Thiên Lộc</v>
      </c>
      <c r="I84" s="58">
        <f>Total!I79</f>
        <v>1180044201</v>
      </c>
      <c r="J84" s="59" t="str">
        <f>Total!J79</f>
        <v>Giáo viên tiểu học hạng III – V.07.03.29</v>
      </c>
    </row>
    <row r="85" spans="2:10" s="58" customFormat="1">
      <c r="B85" s="58">
        <f>Total!B80</f>
        <v>420</v>
      </c>
      <c r="C85" s="58" t="str">
        <f>Total!C80</f>
        <v>Nguyễn Thị Minh Hiển</v>
      </c>
      <c r="E85" s="58">
        <f>Total!E80</f>
        <v>1979</v>
      </c>
      <c r="F85" s="58" t="str">
        <f>Total!F80</f>
        <v>TH</v>
      </c>
      <c r="G85" s="58" t="str">
        <f>Total!G80</f>
        <v>TH Võng La</v>
      </c>
      <c r="H85" s="58" t="str">
        <f>Total!H80</f>
        <v>Thiên Lộc</v>
      </c>
      <c r="I85" s="58">
        <f>Total!I80</f>
        <v>1179003519</v>
      </c>
      <c r="J85" s="59" t="str">
        <f>Total!J80</f>
        <v>Giáo viên tiểu học hạng II – V.07.03.28</v>
      </c>
    </row>
    <row r="86" spans="2:10" s="58" customFormat="1">
      <c r="B86" s="58">
        <f>Total!B81</f>
        <v>421</v>
      </c>
      <c r="C86" s="58" t="str">
        <f>Total!C81</f>
        <v>Vũ Thị Kim Thanh</v>
      </c>
      <c r="E86" s="58">
        <f>Total!E81</f>
        <v>1978</v>
      </c>
      <c r="F86" s="58" t="str">
        <f>Total!F81</f>
        <v>TH</v>
      </c>
      <c r="G86" s="58" t="str">
        <f>Total!G81</f>
        <v>TH Tô Thị Hiển</v>
      </c>
      <c r="H86" s="58" t="str">
        <f>Total!H81</f>
        <v>Phúc Thịnh</v>
      </c>
      <c r="I86" s="58" t="str">
        <f>Total!I81</f>
        <v>001194006005</v>
      </c>
      <c r="J86" s="59" t="str">
        <f>Total!J81</f>
        <v>Giáo viên trung học cơ sở hạng III - V.07.04.32</v>
      </c>
    </row>
    <row r="87" spans="2:10" s="58" customFormat="1">
      <c r="B87" s="58">
        <f>Total!B82</f>
        <v>422</v>
      </c>
      <c r="C87" s="58" t="str">
        <f>Total!C82</f>
        <v>Nguyễn Thị Hồng Kiểm</v>
      </c>
      <c r="E87" s="58">
        <f>Total!E82</f>
        <v>1977</v>
      </c>
      <c r="F87" s="58" t="str">
        <f>Total!F82</f>
        <v>TH</v>
      </c>
      <c r="G87" s="58" t="str">
        <f>Total!G82</f>
        <v>TH Cổ Loa</v>
      </c>
      <c r="H87" s="58" t="str">
        <f>Total!H82</f>
        <v>Đông Anh</v>
      </c>
      <c r="I87" s="58" t="str">
        <f>Total!I82</f>
        <v>001176053581</v>
      </c>
      <c r="J87" s="59" t="str">
        <f>Total!J82</f>
        <v>Giáo viên trung học phổ thông hạng III - V.07.05.15</v>
      </c>
    </row>
    <row r="88" spans="2:10" s="58" customFormat="1">
      <c r="B88" s="58">
        <f>Total!B83</f>
        <v>423</v>
      </c>
      <c r="C88" s="58" t="str">
        <f>Total!C83</f>
        <v>Nguyễn Thị Châm</v>
      </c>
      <c r="E88" s="58">
        <f>Total!E83</f>
        <v>1977</v>
      </c>
      <c r="F88" s="58" t="str">
        <f>Total!F83</f>
        <v>TH</v>
      </c>
      <c r="G88" s="58" t="str">
        <f>Total!G83</f>
        <v>TH Thăng Long</v>
      </c>
      <c r="H88" s="58" t="str">
        <f>Total!H83</f>
        <v xml:space="preserve">Thiên Lộc </v>
      </c>
      <c r="I88" s="58" t="str">
        <f>Total!I83</f>
        <v>001180020741</v>
      </c>
      <c r="J88" s="59" t="str">
        <f>Total!J83</f>
        <v>Giáo viên tiểu học hạng II – V.07.03.28</v>
      </c>
    </row>
    <row r="89" spans="2:10" s="58" customFormat="1">
      <c r="B89" s="58">
        <f>Total!B84</f>
        <v>424</v>
      </c>
      <c r="C89" s="58" t="str">
        <f>Total!C84</f>
        <v>Đàm Thị Thu Điệp</v>
      </c>
      <c r="E89" s="58">
        <f>Total!E84</f>
        <v>1977</v>
      </c>
      <c r="F89" s="58" t="str">
        <f>Total!F84</f>
        <v>TH</v>
      </c>
      <c r="G89" s="58" t="str">
        <f>Total!G84</f>
        <v>TH Vĩnh Ngọc</v>
      </c>
      <c r="H89" s="58" t="str">
        <f>Total!H84</f>
        <v>Vĩnh Thanh</v>
      </c>
      <c r="I89" s="58" t="str">
        <f>Total!I84</f>
        <v>001178013783</v>
      </c>
      <c r="J89" s="59" t="str">
        <f>Total!J84</f>
        <v>Giáo viên tiểu học hạng III – V.07.03.29</v>
      </c>
    </row>
    <row r="90" spans="2:10" s="58" customFormat="1">
      <c r="B90" s="58">
        <f>Total!B85</f>
        <v>425</v>
      </c>
      <c r="C90" s="58" t="str">
        <f>Total!C85</f>
        <v>Cao Thị Bằng</v>
      </c>
      <c r="E90" s="58">
        <f>Total!E85</f>
        <v>1976</v>
      </c>
      <c r="F90" s="58" t="str">
        <f>Total!F85</f>
        <v>TH</v>
      </c>
      <c r="G90" s="58" t="str">
        <f>Total!G85</f>
        <v>TH Dục Tú</v>
      </c>
      <c r="H90" s="58" t="str">
        <f>Total!H85</f>
        <v>Đông Anh</v>
      </c>
      <c r="I90" s="58" t="str">
        <f>Total!I85</f>
        <v>001196039158</v>
      </c>
      <c r="J90" s="59" t="str">
        <f>Total!J85</f>
        <v>Giáo viên trung học cơ sở hạng III - V.07.04.32</v>
      </c>
    </row>
    <row r="91" spans="2:10" s="58" customFormat="1">
      <c r="B91" s="58">
        <f>Total!B86</f>
        <v>426</v>
      </c>
      <c r="C91" s="58" t="str">
        <f>Total!C86</f>
        <v>Nguyễn Thị Thu Uyên</v>
      </c>
      <c r="E91" s="58">
        <f>Total!E86</f>
        <v>1996</v>
      </c>
      <c r="F91" s="58" t="str">
        <f>Total!F86</f>
        <v>THCS</v>
      </c>
      <c r="G91" s="58" t="str">
        <f>Total!G86</f>
        <v>THCS Cổ Loa</v>
      </c>
      <c r="H91" s="58" t="str">
        <f>Total!H86</f>
        <v>Đông Anh</v>
      </c>
      <c r="I91" s="58" t="str">
        <f>Total!I86</f>
        <v>001177019255</v>
      </c>
      <c r="J91" s="59" t="str">
        <f>Total!J86</f>
        <v>Giáo viên tiểu học hạng III - V07.03.08</v>
      </c>
    </row>
    <row r="92" spans="2:10" s="58" customFormat="1">
      <c r="B92" s="58">
        <f>Total!B87</f>
        <v>427</v>
      </c>
      <c r="C92" s="58" t="str">
        <f>Total!C87</f>
        <v>Lương Thị Hồng Nhung</v>
      </c>
      <c r="E92" s="58">
        <f>Total!E87</f>
        <v>1996</v>
      </c>
      <c r="F92" s="58" t="str">
        <f>Total!F87</f>
        <v>THCS</v>
      </c>
      <c r="G92" s="58" t="str">
        <f>Total!G87</f>
        <v>THCS Mai Lâm</v>
      </c>
      <c r="H92" s="58" t="str">
        <f>Total!H87</f>
        <v>Đông Anh</v>
      </c>
      <c r="I92" s="58" t="str">
        <f>Total!I87</f>
        <v>001177030526</v>
      </c>
      <c r="J92" s="59" t="str">
        <f>Total!J87</f>
        <v>Giáo viên tiểu học hạng II – V.07.03.28</v>
      </c>
    </row>
    <row r="93" spans="2:10" s="58" customFormat="1">
      <c r="B93" s="58">
        <f>Total!B88</f>
        <v>428</v>
      </c>
      <c r="C93" s="58" t="str">
        <f>Total!C88</f>
        <v>Nguyễn Thị Thu Hương</v>
      </c>
      <c r="E93" s="58">
        <f>Total!E88</f>
        <v>1994</v>
      </c>
      <c r="F93" s="58" t="str">
        <f>Total!F88</f>
        <v>THCS</v>
      </c>
      <c r="G93" s="58" t="str">
        <f>Total!G88</f>
        <v>THCS Dục Tú</v>
      </c>
      <c r="H93" s="58" t="str">
        <f>Total!H88</f>
        <v>Đông Anh</v>
      </c>
      <c r="I93" s="58" t="str">
        <f>Total!I88</f>
        <v>001191025902</v>
      </c>
      <c r="J93" s="59" t="str">
        <f>Total!J88</f>
        <v>Giáo viên tiểu học hạng III – V.07.03.29</v>
      </c>
    </row>
    <row r="94" spans="2:10" s="58" customFormat="1">
      <c r="B94" s="58">
        <f>Total!B89</f>
        <v>429</v>
      </c>
      <c r="C94" s="58" t="str">
        <f>Total!C89</f>
        <v>Nguyễn Thị Phương</v>
      </c>
      <c r="E94" s="58">
        <f>Total!E89</f>
        <v>1976</v>
      </c>
      <c r="F94" s="58" t="str">
        <f>Total!F89</f>
        <v>THPT</v>
      </c>
      <c r="G94" s="58" t="str">
        <f>Total!G89</f>
        <v>THPT Vân Nội</v>
      </c>
      <c r="H94" s="58" t="str">
        <f>Total!H89</f>
        <v>Phúc Thịnh</v>
      </c>
      <c r="I94" s="58" t="str">
        <f>Total!I89</f>
        <v>001182042023</v>
      </c>
      <c r="J94" s="59" t="str">
        <f>Total!J89</f>
        <v>Giáo viên tiểu học hạng II – V.07.03.28</v>
      </c>
    </row>
    <row r="95" spans="2:10" s="58" customFormat="1">
      <c r="B95" s="58">
        <f>Total!B90</f>
        <v>430</v>
      </c>
      <c r="C95" s="58" t="str">
        <f>Total!C90</f>
        <v>Nguyễn Thị Mai Hương</v>
      </c>
      <c r="E95" s="58">
        <f>Total!E90</f>
        <v>1978</v>
      </c>
      <c r="F95" s="58" t="str">
        <f>Total!F90</f>
        <v>THPT</v>
      </c>
      <c r="G95" s="58" t="str">
        <f>Total!G90</f>
        <v>THPT Vân Nội</v>
      </c>
      <c r="H95" s="58" t="str">
        <f>Total!H90</f>
        <v>Phúc Thịnh</v>
      </c>
      <c r="I95" s="58">
        <f>Total!I90</f>
        <v>1184057507</v>
      </c>
      <c r="J95" s="59" t="str">
        <f>Total!J90</f>
        <v>Giáo viên trung học cơ sở hạng II - V.07.04.31</v>
      </c>
    </row>
    <row r="96" spans="2:10" s="58" customFormat="1">
      <c r="B96" s="58">
        <f>Total!B91</f>
        <v>431</v>
      </c>
      <c r="C96" s="58" t="str">
        <f>Total!C91</f>
        <v>Phan Thị Nhàn</v>
      </c>
      <c r="E96" s="58">
        <f>Total!E91</f>
        <v>1984</v>
      </c>
      <c r="F96" s="58" t="str">
        <f>Total!F91</f>
        <v>THPT</v>
      </c>
      <c r="G96" s="58" t="str">
        <f>Total!G91</f>
        <v>THPT Bắc Thăng Long</v>
      </c>
      <c r="H96" s="58" t="str">
        <f>Total!H91</f>
        <v xml:space="preserve">Thiên Lộc </v>
      </c>
      <c r="I96" s="58">
        <f>Total!I91</f>
        <v>1184006475</v>
      </c>
      <c r="J96" s="59" t="str">
        <f>Total!J91</f>
        <v>Giáo viên trung học phổ thông hạng III - V.07.05.15</v>
      </c>
    </row>
    <row r="97" spans="2:10" s="58" customFormat="1">
      <c r="B97" s="58">
        <f>Total!B92</f>
        <v>432</v>
      </c>
      <c r="C97" s="58" t="str">
        <f>Total!C92</f>
        <v>Nguyễn Thị Hà</v>
      </c>
      <c r="E97" s="58">
        <f>Total!E92</f>
        <v>1982</v>
      </c>
      <c r="F97" s="58" t="str">
        <f>Total!F92</f>
        <v>TH</v>
      </c>
      <c r="G97" s="58" t="str">
        <f>Total!G92</f>
        <v>TH Liên Mạc B</v>
      </c>
      <c r="H97" s="58" t="str">
        <f>Total!H92</f>
        <v>Yên Lãng</v>
      </c>
      <c r="I97" s="58">
        <f>Total!I92</f>
        <v>1182042023</v>
      </c>
      <c r="J97" s="59" t="str">
        <f>Total!J92</f>
        <v>Giáo viên tiểu học hạng II – V.07.03.28</v>
      </c>
    </row>
    <row r="98" spans="2:10" s="58" customFormat="1">
      <c r="B98" s="58">
        <f>Total!B93</f>
        <v>433</v>
      </c>
      <c r="C98" s="58" t="str">
        <f>Total!C93</f>
        <v>Ngô Thị Hồng Gấm</v>
      </c>
      <c r="E98" s="58">
        <f>Total!E93</f>
        <v>1985</v>
      </c>
      <c r="F98" s="58" t="str">
        <f>Total!F93</f>
        <v>TH</v>
      </c>
      <c r="G98" s="58" t="str">
        <f>Total!G93</f>
        <v>TH Văn Khê A</v>
      </c>
      <c r="H98" s="58" t="str">
        <f>Total!H93</f>
        <v xml:space="preserve">Mê Linh </v>
      </c>
      <c r="I98" s="58">
        <f>Total!I93</f>
        <v>1185019297</v>
      </c>
      <c r="J98" s="59" t="str">
        <f>Total!J93</f>
        <v>Giáo viên tiểu học hạng II – V.07.03.28</v>
      </c>
    </row>
    <row r="99" spans="2:10" s="58" customFormat="1">
      <c r="B99" s="58">
        <f>Total!B94</f>
        <v>603</v>
      </c>
      <c r="C99" s="58" t="str">
        <f>Total!C94</f>
        <v>Nguyễn Thanh Nhàn</v>
      </c>
      <c r="E99" s="58">
        <f>Total!E94</f>
        <v>1977</v>
      </c>
      <c r="F99" s="58" t="str">
        <f>Total!F94</f>
        <v>TH</v>
      </c>
      <c r="G99" s="58" t="str">
        <f>Total!G94</f>
        <v>TH Hoàng Hoa Thám</v>
      </c>
      <c r="H99" s="58" t="str">
        <f>Total!H94</f>
        <v>Ngọc Hà</v>
      </c>
      <c r="I99" s="58">
        <f>Total!I94</f>
        <v>1177010105</v>
      </c>
      <c r="J99" s="59" t="str">
        <f>Total!J94</f>
        <v>Giáo viên tiểu học hạng II – V.07.03.28</v>
      </c>
    </row>
    <row r="100" spans="2:10" s="58" customFormat="1">
      <c r="B100" s="58">
        <f>Total!B95</f>
        <v>481</v>
      </c>
      <c r="C100" s="58" t="str">
        <f>Total!C95</f>
        <v>Hoàng Văn Hùng</v>
      </c>
      <c r="E100" s="58">
        <f>Total!E95</f>
        <v>1983</v>
      </c>
      <c r="F100" s="58" t="str">
        <f>Total!F95</f>
        <v>THPT</v>
      </c>
      <c r="G100" s="58" t="str">
        <f>Total!G95</f>
        <v>THPT Ngọc Tảo</v>
      </c>
      <c r="H100" s="58" t="str">
        <f>Total!H95</f>
        <v>Hát Môn</v>
      </c>
      <c r="I100" s="58">
        <f>Total!I95</f>
        <v>1083006421</v>
      </c>
      <c r="J100" s="59" t="str">
        <f>Total!J95</f>
        <v>Giáo viên trung học phổ thông hạng III - V.07.05.15</v>
      </c>
    </row>
    <row r="101" spans="2:10" s="58" customFormat="1">
      <c r="B101" s="58">
        <f>Total!B96</f>
        <v>436</v>
      </c>
      <c r="C101" s="58" t="str">
        <f>Total!C96</f>
        <v>Vũ Thị Minh Thu</v>
      </c>
      <c r="E101" s="58">
        <f>Total!E96</f>
        <v>1982</v>
      </c>
      <c r="F101" s="58" t="str">
        <f>Total!F96</f>
        <v>TH</v>
      </c>
      <c r="G101" s="58" t="str">
        <f>Total!G96</f>
        <v>TH Đại Thịnh A</v>
      </c>
      <c r="H101" s="58" t="str">
        <f>Total!H96</f>
        <v>Quang Minh</v>
      </c>
      <c r="I101" s="58">
        <f>Total!I96</f>
        <v>35182000293</v>
      </c>
      <c r="J101" s="59" t="str">
        <f>Total!J96</f>
        <v>Giáo viên tiểu học hạng II – V.07.03.28</v>
      </c>
    </row>
    <row r="102" spans="2:10" s="58" customFormat="1">
      <c r="B102" s="58">
        <f>Total!B97</f>
        <v>437</v>
      </c>
      <c r="C102" s="58" t="str">
        <f>Total!C97</f>
        <v>Nguyễn Thị Minh Thảo</v>
      </c>
      <c r="E102" s="58">
        <f>Total!E97</f>
        <v>1987</v>
      </c>
      <c r="F102" s="58" t="str">
        <f>Total!F97</f>
        <v>TH</v>
      </c>
      <c r="G102" s="58" t="str">
        <f>Total!G97</f>
        <v>TH Chi Đông</v>
      </c>
      <c r="H102" s="58" t="str">
        <f>Total!H97</f>
        <v>Quang Minh</v>
      </c>
      <c r="I102" s="58">
        <f>Total!I97</f>
        <v>1187022144</v>
      </c>
      <c r="J102" s="59" t="str">
        <f>Total!J97</f>
        <v>Giáo viên tiểu học hạng III – V.07.03.29</v>
      </c>
    </row>
    <row r="103" spans="2:10" s="58" customFormat="1">
      <c r="B103" s="58">
        <f>Total!B98</f>
        <v>438</v>
      </c>
      <c r="C103" s="58" t="str">
        <f>Total!C98</f>
        <v>Nguyễn Đức Chiến</v>
      </c>
      <c r="E103" s="58">
        <f>Total!E98</f>
        <v>1980</v>
      </c>
      <c r="F103" s="58" t="str">
        <f>Total!F98</f>
        <v>THCS</v>
      </c>
      <c r="G103" s="58" t="str">
        <f>Total!G98</f>
        <v>THCS Văn Khê</v>
      </c>
      <c r="H103" s="58" t="str">
        <f>Total!H98</f>
        <v xml:space="preserve">Hà Đông </v>
      </c>
      <c r="I103" s="58" t="str">
        <f>Total!I98</f>
        <v/>
      </c>
      <c r="J103" s="59" t="str">
        <f>Total!J98</f>
        <v/>
      </c>
    </row>
    <row r="104" spans="2:10" s="58" customFormat="1">
      <c r="B104" s="58">
        <f>Total!B99</f>
        <v>439</v>
      </c>
      <c r="C104" s="58" t="str">
        <f>Total!C99</f>
        <v>Nguyễn Minh Mẫn</v>
      </c>
      <c r="E104" s="58">
        <f>Total!E99</f>
        <v>1975</v>
      </c>
      <c r="F104" s="58" t="str">
        <f>Total!F99</f>
        <v>THCS</v>
      </c>
      <c r="G104" s="58" t="str">
        <f>Total!G99</f>
        <v>THCS Tiến Thắng</v>
      </c>
      <c r="H104" s="58" t="str">
        <f>Total!H99</f>
        <v>Tiến Thắng</v>
      </c>
      <c r="I104" s="58" t="str">
        <f>Total!I99</f>
        <v/>
      </c>
      <c r="J104" s="59" t="str">
        <f>Total!J99</f>
        <v/>
      </c>
    </row>
    <row r="105" spans="2:10" s="58" customFormat="1">
      <c r="B105" s="58">
        <f>Total!B100</f>
        <v>440</v>
      </c>
      <c r="C105" s="58" t="str">
        <f>Total!C100</f>
        <v>Nguyễn Thị Thịnh</v>
      </c>
      <c r="E105" s="58">
        <f>Total!E100</f>
        <v>1980</v>
      </c>
      <c r="F105" s="58" t="str">
        <f>Total!F100</f>
        <v>TH</v>
      </c>
      <c r="G105" s="58" t="str">
        <f>Total!G100</f>
        <v>TH Thạch Đà A</v>
      </c>
      <c r="H105" s="58" t="str">
        <f>Total!H100</f>
        <v>Yên Lãng</v>
      </c>
      <c r="I105" s="58">
        <f>Total!I100</f>
        <v>1180020741</v>
      </c>
      <c r="J105" s="59" t="str">
        <f>Total!J100</f>
        <v>Giáo viên tiểu học hạng II – V.07.03.28</v>
      </c>
    </row>
    <row r="106" spans="2:10" s="58" customFormat="1">
      <c r="B106" s="58">
        <f>Total!B101</f>
        <v>441</v>
      </c>
      <c r="C106" s="58" t="str">
        <f>Total!C101</f>
        <v>Nguyễn Thị Hà</v>
      </c>
      <c r="E106" s="58">
        <f>Total!E101</f>
        <v>1991</v>
      </c>
      <c r="F106" s="58" t="str">
        <f>Total!F101</f>
        <v>TH</v>
      </c>
      <c r="G106" s="58" t="str">
        <f>Total!G101</f>
        <v>TH Vân Hà</v>
      </c>
      <c r="H106" s="58" t="str">
        <f>Total!H101</f>
        <v>Thư Lâm</v>
      </c>
      <c r="I106" s="58" t="str">
        <f>Total!I101</f>
        <v>002178000027</v>
      </c>
      <c r="J106" s="59" t="str">
        <f>Total!J101</f>
        <v>Giáo viên trung học phổ thông hạng III - V.07.05.15</v>
      </c>
    </row>
    <row r="107" spans="2:10" s="58" customFormat="1">
      <c r="B107" s="58">
        <f>Total!B102</f>
        <v>442</v>
      </c>
      <c r="C107" s="58" t="str">
        <f>Total!C102</f>
        <v>Nguyễn Thị Ánh</v>
      </c>
      <c r="E107" s="58">
        <f>Total!E102</f>
        <v>1981</v>
      </c>
      <c r="F107" s="58" t="str">
        <f>Total!F102</f>
        <v>THCS</v>
      </c>
      <c r="G107" s="58" t="str">
        <f>Total!G102</f>
        <v>THCS Phạm Hồng Thái</v>
      </c>
      <c r="H107" s="58" t="str">
        <f>Total!H102</f>
        <v>Yên Lãng</v>
      </c>
      <c r="I107" s="58" t="str">
        <f>Total!I102</f>
        <v>001176049161</v>
      </c>
      <c r="J107" s="59" t="str">
        <f>Total!J102</f>
        <v>Giáo viên trung học phổ thông hạng III - V.07.05.15</v>
      </c>
    </row>
    <row r="108" spans="2:10" s="58" customFormat="1">
      <c r="B108" s="58">
        <f>Total!B103</f>
        <v>443</v>
      </c>
      <c r="C108" s="58" t="str">
        <f>Total!C103</f>
        <v>Lê Thị kim Oanh</v>
      </c>
      <c r="E108" s="58">
        <f>Total!E103</f>
        <v>1984</v>
      </c>
      <c r="F108" s="58" t="str">
        <f>Total!F103</f>
        <v>THCS</v>
      </c>
      <c r="G108" s="58" t="str">
        <f>Total!G103</f>
        <v>THCS Liên Mạc</v>
      </c>
      <c r="H108" s="58" t="str">
        <f>Total!H103</f>
        <v>Yên Lãng</v>
      </c>
      <c r="I108" s="58" t="str">
        <f>Total!I103</f>
        <v>027176002787</v>
      </c>
      <c r="J108" s="59" t="str">
        <f>Total!J103</f>
        <v>Giáo viên trung học phổ thông hạng III - V.07.05.15</v>
      </c>
    </row>
    <row r="109" spans="2:10" s="58" customFormat="1">
      <c r="B109" s="58">
        <f>Total!B104</f>
        <v>444</v>
      </c>
      <c r="C109" s="58" t="str">
        <f>Total!C104</f>
        <v>Nguyễn Công Tuấn</v>
      </c>
      <c r="E109" s="58">
        <f>Total!E104</f>
        <v>1976</v>
      </c>
      <c r="F109" s="58" t="str">
        <f>Total!F104</f>
        <v>THCS</v>
      </c>
      <c r="G109" s="58" t="str">
        <f>Total!G104</f>
        <v>THCS Tự Lập</v>
      </c>
      <c r="H109" s="58" t="str">
        <f>Total!H104</f>
        <v>Tiến Thắng</v>
      </c>
      <c r="I109" s="58" t="str">
        <f>Total!I104</f>
        <v>001179028050</v>
      </c>
      <c r="J109" s="59" t="str">
        <f>Total!J104</f>
        <v>Giáo viên trung học phổ thông hạng III - V.07.05.15</v>
      </c>
    </row>
    <row r="110" spans="2:10" s="58" customFormat="1">
      <c r="B110" s="58">
        <f>Total!B105</f>
        <v>445</v>
      </c>
      <c r="C110" s="58" t="str">
        <f>Total!C105</f>
        <v>Lê Thị Hải</v>
      </c>
      <c r="E110" s="58">
        <f>Total!E105</f>
        <v>1984</v>
      </c>
      <c r="F110" s="58" t="str">
        <f>Total!F105</f>
        <v>TH</v>
      </c>
      <c r="G110" s="58" t="str">
        <f>Total!G105</f>
        <v>TH Hoàng Kim</v>
      </c>
      <c r="H110" s="58" t="str">
        <f>Total!H105</f>
        <v>Yên Lãng</v>
      </c>
      <c r="I110" s="58" t="str">
        <f>Total!I105</f>
        <v>001076003003</v>
      </c>
      <c r="J110" s="59" t="str">
        <f>Total!J105</f>
        <v>Giáo viên trung học cơ sở hạng II - V.07.04.31</v>
      </c>
    </row>
    <row r="111" spans="2:10" s="58" customFormat="1">
      <c r="B111" s="58">
        <f>Total!B106</f>
        <v>446</v>
      </c>
      <c r="C111" s="58" t="str">
        <f>Total!C106</f>
        <v>Nguyễn Thị Hồng Phúc</v>
      </c>
      <c r="E111" s="58">
        <f>Total!E106</f>
        <v>2000</v>
      </c>
      <c r="F111" s="58" t="str">
        <f>Total!F106</f>
        <v>THCS</v>
      </c>
      <c r="G111" s="58" t="str">
        <f>Total!G106</f>
        <v>Liên Mạc</v>
      </c>
      <c r="H111" s="58" t="str">
        <f>Total!H106</f>
        <v>Thượng Cát</v>
      </c>
      <c r="I111" s="58" t="str">
        <f>Total!I106</f>
        <v>001078028836</v>
      </c>
      <c r="J111" s="59" t="str">
        <f>Total!J106</f>
        <v>Giáo viên trung học cơ sở hạng II - V.07.04.31</v>
      </c>
    </row>
    <row r="112" spans="2:10" s="58" customFormat="1">
      <c r="B112" s="58">
        <f>Total!B107</f>
        <v>447</v>
      </c>
      <c r="C112" s="58" t="str">
        <f>Total!C107</f>
        <v>Đỗ Thị Thanh Thủy</v>
      </c>
      <c r="E112" s="58">
        <f>Total!E107</f>
        <v>1983</v>
      </c>
      <c r="F112" s="58" t="str">
        <f>Total!F107</f>
        <v>THCS</v>
      </c>
      <c r="G112" s="58" t="str">
        <f>Total!G107</f>
        <v>THCS Trưng Vương</v>
      </c>
      <c r="H112" s="58" t="str">
        <f>Total!H107</f>
        <v>Quang Minh</v>
      </c>
      <c r="I112" s="58" t="str">
        <f>Total!I107</f>
        <v>001184035063</v>
      </c>
      <c r="J112" s="59" t="str">
        <f>Total!J107</f>
        <v>Giáo viên trung học cơ sở hạng II - V.07.04.31</v>
      </c>
    </row>
    <row r="113" spans="2:10" s="58" customFormat="1">
      <c r="B113" s="58">
        <f>Total!B108</f>
        <v>448</v>
      </c>
      <c r="C113" s="58" t="str">
        <f>Total!C108</f>
        <v>Lê Xuân Hải</v>
      </c>
      <c r="E113" s="58">
        <f>Total!E108</f>
        <v>1978</v>
      </c>
      <c r="F113" s="58" t="str">
        <f>Total!F108</f>
        <v>THCS</v>
      </c>
      <c r="G113" s="58" t="str">
        <f>Total!G108</f>
        <v>THCS Chu Phan</v>
      </c>
      <c r="H113" s="58" t="str">
        <f>Total!H108</f>
        <v>Mê Linh</v>
      </c>
      <c r="I113" s="58" t="str">
        <f>Total!I108</f>
        <v>026181006803</v>
      </c>
      <c r="J113" s="59" t="str">
        <f>Total!J108</f>
        <v>Giáo viên trung học cơ sở hạng II - V.07.04.31</v>
      </c>
    </row>
    <row r="114" spans="2:10" s="58" customFormat="1">
      <c r="B114" s="58">
        <f>Total!B109</f>
        <v>449</v>
      </c>
      <c r="C114" s="58" t="str">
        <f>Total!C109</f>
        <v>Nguyễn Thị Lệ</v>
      </c>
      <c r="E114" s="58">
        <f>Total!E109</f>
        <v>1995</v>
      </c>
      <c r="F114" s="58" t="str">
        <f>Total!F109</f>
        <v>THPT</v>
      </c>
      <c r="G114" s="58" t="str">
        <f>Total!G109</f>
        <v>THPT Sóc Sơn</v>
      </c>
      <c r="H114" s="58" t="str">
        <f>Total!H109</f>
        <v>Sóc Sơn</v>
      </c>
      <c r="I114" s="58" t="str">
        <f>Total!I109</f>
        <v>001184039143</v>
      </c>
      <c r="J114" s="59" t="str">
        <f>Total!J109</f>
        <v>Giáo viên tiểu học hạng III – V.07.03.29</v>
      </c>
    </row>
    <row r="115" spans="2:10" s="58" customFormat="1">
      <c r="B115" s="58">
        <f>Total!B110</f>
        <v>450</v>
      </c>
      <c r="C115" s="58" t="str">
        <f>Total!C110</f>
        <v>Phạm Thị Liên</v>
      </c>
      <c r="E115" s="58">
        <f>Total!E110</f>
        <v>1985</v>
      </c>
      <c r="F115" s="58" t="str">
        <f>Total!F110</f>
        <v>THPT</v>
      </c>
      <c r="G115" s="58" t="str">
        <f>Total!G110</f>
        <v>THPT Minh Phú</v>
      </c>
      <c r="H115" s="58" t="str">
        <f>Total!H110</f>
        <v>Kim Anh</v>
      </c>
      <c r="I115" s="58" t="str">
        <f>Total!I110</f>
        <v>001177046284</v>
      </c>
      <c r="J115" s="59" t="str">
        <f>Total!J110</f>
        <v>Giáo viên trung học phổ thông hạng III - V.07.05.15</v>
      </c>
    </row>
    <row r="116" spans="2:10" s="58" customFormat="1">
      <c r="B116" s="58">
        <f>Total!B111</f>
        <v>451</v>
      </c>
      <c r="C116" s="58" t="str">
        <f>Total!C111</f>
        <v>Vũ Thị Hồng Nhung</v>
      </c>
      <c r="E116" s="58">
        <f>Total!E111</f>
        <v>1983</v>
      </c>
      <c r="F116" s="58" t="str">
        <f>Total!F111</f>
        <v>THPT</v>
      </c>
      <c r="G116" s="58" t="str">
        <f>Total!G111</f>
        <v>THPT Minh Phú</v>
      </c>
      <c r="H116" s="58" t="str">
        <f>Total!H111</f>
        <v>Kim Anh</v>
      </c>
      <c r="I116" s="58" t="str">
        <f>Total!I111</f>
        <v>001183053186</v>
      </c>
      <c r="J116" s="59" t="str">
        <f>Total!J111</f>
        <v>Giáo viên tiểu học hạng III – V.07.03.29</v>
      </c>
    </row>
    <row r="117" spans="2:10" s="58" customFormat="1">
      <c r="B117" s="58">
        <f>Total!B112</f>
        <v>452</v>
      </c>
      <c r="C117" s="58" t="str">
        <f>Total!C112</f>
        <v>Trần Thanh Tùng</v>
      </c>
      <c r="E117" s="58">
        <f>Total!E112</f>
        <v>1982</v>
      </c>
      <c r="F117" s="58" t="str">
        <f>Total!F112</f>
        <v>THPT</v>
      </c>
      <c r="G117" s="58" t="str">
        <f>Total!G112</f>
        <v>THPT Trung Giã</v>
      </c>
      <c r="H117" s="58" t="str">
        <f>Total!H112</f>
        <v>Trung Giã</v>
      </c>
      <c r="I117" s="58" t="str">
        <f>Total!I112</f>
        <v>001191025902</v>
      </c>
      <c r="J117" s="59" t="str">
        <f>Total!J112</f>
        <v>Giáo viên tiểu học hạng III – V.07.03.29</v>
      </c>
    </row>
    <row r="118" spans="2:10" s="58" customFormat="1">
      <c r="B118" s="58">
        <f>Total!B113</f>
        <v>453</v>
      </c>
      <c r="C118" s="58" t="str">
        <f>Total!C113</f>
        <v>Phạm Thị Hồng Thuỷ</v>
      </c>
      <c r="E118" s="58">
        <f>Total!E113</f>
        <v>1979</v>
      </c>
      <c r="F118" s="58" t="str">
        <f>Total!F113</f>
        <v>THPT</v>
      </c>
      <c r="G118" s="58" t="str">
        <f>Total!G113</f>
        <v>THPT Trung Giã</v>
      </c>
      <c r="H118" s="58" t="str">
        <f>Total!H113</f>
        <v>Trung Giã</v>
      </c>
      <c r="I118" s="58" t="str">
        <f>Total!I113</f>
        <v>001182042023</v>
      </c>
      <c r="J118" s="59" t="str">
        <f>Total!J113</f>
        <v>Giáo viên tiểu học hạng II – V.07.03.28</v>
      </c>
    </row>
    <row r="119" spans="2:10" s="58" customFormat="1">
      <c r="B119" s="58">
        <f>Total!B114</f>
        <v>454</v>
      </c>
      <c r="C119" s="58" t="str">
        <f>Total!C114</f>
        <v>Nguyễn Minh Giang</v>
      </c>
      <c r="E119" s="58">
        <f>Total!E114</f>
        <v>1978</v>
      </c>
      <c r="F119" s="58" t="str">
        <f>Total!F114</f>
        <v>THPT</v>
      </c>
      <c r="G119" s="58" t="str">
        <f>Total!G114</f>
        <v>THPT Sóc Sơn</v>
      </c>
      <c r="H119" s="58" t="str">
        <f>Total!H114</f>
        <v>Sóc Sơn</v>
      </c>
      <c r="I119" s="58" t="str">
        <f>Total!I114</f>
        <v>001182002713</v>
      </c>
      <c r="J119" s="59" t="str">
        <f>Total!J114</f>
        <v>Giáo viên trung học phổ thông hạng III - V.07.05.15</v>
      </c>
    </row>
    <row r="120" spans="2:10" s="58" customFormat="1">
      <c r="B120" s="58">
        <f>Total!B115</f>
        <v>455</v>
      </c>
      <c r="C120" s="58" t="str">
        <f>Total!C115</f>
        <v>Chử Thị Hường</v>
      </c>
      <c r="E120" s="58">
        <f>Total!E115</f>
        <v>1976</v>
      </c>
      <c r="F120" s="58" t="str">
        <f>Total!F115</f>
        <v>THPT</v>
      </c>
      <c r="G120" s="58" t="str">
        <f>Total!G115</f>
        <v>THPT Sóc Sơn</v>
      </c>
      <c r="H120" s="58" t="str">
        <f>Total!H115</f>
        <v>Sóc Sơn</v>
      </c>
      <c r="I120" s="58" t="str">
        <f>Total!I115</f>
        <v>014183008863-14183008863</v>
      </c>
      <c r="J120" s="59" t="str">
        <f>Total!J115</f>
        <v>Giáo viên trung học phổ thông hạng III - V.07.05.15</v>
      </c>
    </row>
    <row r="121" spans="2:10" s="58" customFormat="1">
      <c r="B121" s="58">
        <f>Total!B116</f>
        <v>456</v>
      </c>
      <c r="C121" s="58" t="str">
        <f>Total!C116</f>
        <v>Dương Thị Dung</v>
      </c>
      <c r="E121" s="58">
        <f>Total!E116</f>
        <v>1976</v>
      </c>
      <c r="F121" s="58" t="str">
        <f>Total!F116</f>
        <v>THPT</v>
      </c>
      <c r="G121" s="58" t="str">
        <f>Total!G116</f>
        <v>THPT Trung Giã</v>
      </c>
      <c r="H121" s="58" t="str">
        <f>Total!H116</f>
        <v>Trung Giã</v>
      </c>
      <c r="I121" s="58" t="str">
        <f>Total!I116</f>
        <v>001195004906</v>
      </c>
      <c r="J121" s="59" t="str">
        <f>Total!J116</f>
        <v>Giáo viên trung học cơ sở hạng III - V.07.04.32</v>
      </c>
    </row>
    <row r="122" spans="2:10" s="58" customFormat="1">
      <c r="B122" s="58">
        <f>Total!B117</f>
        <v>457</v>
      </c>
      <c r="C122" s="58" t="str">
        <f>Total!C117</f>
        <v>Khổng Việt Hồng</v>
      </c>
      <c r="E122" s="58">
        <f>Total!E117</f>
        <v>1975</v>
      </c>
      <c r="F122" s="58" t="str">
        <f>Total!F117</f>
        <v>THPT</v>
      </c>
      <c r="G122" s="58" t="str">
        <f>Total!G117</f>
        <v>THPT Đa Phúc</v>
      </c>
      <c r="H122" s="58" t="str">
        <f>Total!H117</f>
        <v>Sóc Sơn</v>
      </c>
      <c r="I122" s="58">
        <f>Total!I117</f>
        <v>1175028245</v>
      </c>
      <c r="J122" s="59" t="str">
        <f>Total!J117</f>
        <v>Giáo viên trung học phổ thông hạng I - V.07.05.13</v>
      </c>
    </row>
    <row r="123" spans="2:10" s="58" customFormat="1">
      <c r="B123" s="58">
        <f>Total!B118</f>
        <v>458</v>
      </c>
      <c r="C123" s="58" t="str">
        <f>Total!C118</f>
        <v>Vũ Thị Hảo</v>
      </c>
      <c r="E123" s="58">
        <f>Total!E118</f>
        <v>1995</v>
      </c>
      <c r="F123" s="58" t="str">
        <f>Total!F118</f>
        <v>THCS</v>
      </c>
      <c r="G123" s="58" t="str">
        <f>Total!G118</f>
        <v>THCS Thanh Xuân</v>
      </c>
      <c r="H123" s="58" t="str">
        <f>Total!H118</f>
        <v>Nội Bài</v>
      </c>
      <c r="I123" s="58">
        <f>Total!I118</f>
        <v>1195004906</v>
      </c>
      <c r="J123" s="59" t="str">
        <f>Total!J118</f>
        <v>Giáo viên trung học cơ sở hạng III - V.07.04.32</v>
      </c>
    </row>
    <row r="124" spans="2:10" s="58" customFormat="1">
      <c r="B124" s="58">
        <f>Total!B119</f>
        <v>459</v>
      </c>
      <c r="C124" s="58" t="str">
        <f>Total!C119</f>
        <v>Nguyễn Thị Huệ</v>
      </c>
      <c r="E124" s="58">
        <f>Total!E119</f>
        <v>1975</v>
      </c>
      <c r="F124" s="58" t="str">
        <f>Total!F119</f>
        <v>THCS</v>
      </c>
      <c r="G124" s="58" t="str">
        <f>Total!G119</f>
        <v>THCS Quang Tiến</v>
      </c>
      <c r="H124" s="58" t="str">
        <f>Total!H119</f>
        <v>Nội Bài</v>
      </c>
      <c r="I124" s="58" t="str">
        <f>Total!I119</f>
        <v/>
      </c>
      <c r="J124" s="59" t="str">
        <f>Total!J119</f>
        <v/>
      </c>
    </row>
    <row r="125" spans="2:10" s="58" customFormat="1">
      <c r="B125" s="58">
        <f>Total!B120</f>
        <v>460</v>
      </c>
      <c r="C125" s="58" t="str">
        <f>Total!C120</f>
        <v>Nguyễn Thị Hồng Yến</v>
      </c>
      <c r="E125" s="58">
        <f>Total!E120</f>
        <v>1983</v>
      </c>
      <c r="F125" s="58" t="str">
        <f>Total!F120</f>
        <v>TH</v>
      </c>
      <c r="G125" s="58" t="str">
        <f>Total!G120</f>
        <v>TH Phú Minh</v>
      </c>
      <c r="H125" s="58" t="str">
        <f>Total!H120</f>
        <v xml:space="preserve">Nội Bài </v>
      </c>
      <c r="I125" s="58">
        <f>Total!I120</f>
        <v>1183053186</v>
      </c>
      <c r="J125" s="59" t="str">
        <f>Total!J120</f>
        <v>Giáo viên tiểu học hạng III – V.07.03.29</v>
      </c>
    </row>
    <row r="126" spans="2:10" s="58" customFormat="1">
      <c r="B126" s="58">
        <f>Total!B121</f>
        <v>482</v>
      </c>
      <c r="C126" s="58" t="str">
        <f>Total!C121</f>
        <v>Lê Thị Bích Hường</v>
      </c>
      <c r="E126" s="58">
        <f>Total!E121</f>
        <v>1984</v>
      </c>
      <c r="F126" s="58" t="str">
        <f>Total!F121</f>
        <v>THPT</v>
      </c>
      <c r="G126" s="58" t="str">
        <f>Total!G121</f>
        <v>THPT Tiến Thịnh</v>
      </c>
      <c r="H126" s="58" t="str">
        <f>Total!H121</f>
        <v xml:space="preserve">Yên Lãng </v>
      </c>
      <c r="I126" s="58" t="str">
        <f>Total!I121</f>
        <v>001184058569</v>
      </c>
      <c r="J126" s="59" t="str">
        <f>Total!J121</f>
        <v>Giáo viên trung học phổ thông hạng II - V.07.05.14</v>
      </c>
    </row>
    <row r="127" spans="2:10" s="58" customFormat="1">
      <c r="B127" s="58">
        <f>Total!B122</f>
        <v>462</v>
      </c>
      <c r="C127" s="58" t="str">
        <f>Total!C122</f>
        <v>Đặng Thị Hà</v>
      </c>
      <c r="E127" s="58">
        <f>Total!E122</f>
        <v>1977</v>
      </c>
      <c r="F127" s="58" t="str">
        <f>Total!F122</f>
        <v>THCS</v>
      </c>
      <c r="G127" s="58" t="str">
        <f>Total!G122</f>
        <v>THCS Minh Trí</v>
      </c>
      <c r="H127" s="58" t="str">
        <f>Total!H122</f>
        <v>Kim Anh</v>
      </c>
      <c r="I127" s="58" t="str">
        <f>Total!I122</f>
        <v>001194006005</v>
      </c>
      <c r="J127" s="59" t="str">
        <f>Total!J122</f>
        <v>Giáo viên trung học cơ sở hạng III - V.07.04.32</v>
      </c>
    </row>
    <row r="128" spans="2:10" s="58" customFormat="1">
      <c r="B128" s="58">
        <f>Total!B123</f>
        <v>463</v>
      </c>
      <c r="C128" s="58" t="str">
        <f>Total!C123</f>
        <v>Trần Thị Minh Trang</v>
      </c>
      <c r="E128" s="58">
        <f>Total!E123</f>
        <v>1989</v>
      </c>
      <c r="F128" s="58" t="str">
        <f>Total!F123</f>
        <v>TH</v>
      </c>
      <c r="G128" s="58" t="str">
        <f>Total!G123</f>
        <v>TH Hương Đình</v>
      </c>
      <c r="H128" s="58" t="str">
        <f>Total!H123</f>
        <v>Sóc Sơn</v>
      </c>
      <c r="I128" s="58" t="str">
        <f>Total!I123</f>
        <v>001178003953</v>
      </c>
      <c r="J128" s="59" t="str">
        <f>Total!J123</f>
        <v>Giáo viên trung học phổ thông hạng III - V.07.05.15</v>
      </c>
    </row>
    <row r="129" spans="2:10" s="58" customFormat="1">
      <c r="B129" s="58">
        <f>Total!B124</f>
        <v>464</v>
      </c>
      <c r="C129" s="58" t="str">
        <f>Total!C124</f>
        <v>Đoàn Thị Lợi</v>
      </c>
      <c r="E129" s="58">
        <f>Total!E124</f>
        <v>1979</v>
      </c>
      <c r="F129" s="58" t="str">
        <f>Total!F124</f>
        <v>THCS</v>
      </c>
      <c r="G129" s="58" t="str">
        <f>Total!G124</f>
        <v>THCS Đông Xuân</v>
      </c>
      <c r="H129" s="58" t="str">
        <f>Total!H124</f>
        <v>Sóc Sơn</v>
      </c>
      <c r="I129" s="58" t="str">
        <f>Total!I124</f>
        <v>001180056849</v>
      </c>
      <c r="J129" s="59" t="str">
        <f>Total!J124</f>
        <v>Giáo viên trung học cơ sở hạng III - V.07.04.32</v>
      </c>
    </row>
    <row r="130" spans="2:10" s="58" customFormat="1">
      <c r="B130" s="58">
        <f>Total!B125</f>
        <v>465</v>
      </c>
      <c r="C130" s="58" t="str">
        <f>Total!C125</f>
        <v>Phạm Thị Hà</v>
      </c>
      <c r="E130" s="58">
        <f>Total!E125</f>
        <v>1975</v>
      </c>
      <c r="F130" s="58" t="str">
        <f>Total!F125</f>
        <v>THCS</v>
      </c>
      <c r="G130" s="58" t="str">
        <f>Total!G125</f>
        <v>THCS Tiên Dược</v>
      </c>
      <c r="H130" s="58" t="str">
        <f>Total!H125</f>
        <v>Sóc Sơn</v>
      </c>
      <c r="I130" s="58" t="str">
        <f>Total!I125</f>
        <v>001186019155</v>
      </c>
      <c r="J130" s="59" t="str">
        <f>Total!J125</f>
        <v>Giáo viên trung học phổ thông hạng III - V.07.05.15</v>
      </c>
    </row>
    <row r="131" spans="2:10" s="58" customFormat="1">
      <c r="B131" s="58">
        <f>Total!B126</f>
        <v>466</v>
      </c>
      <c r="C131" s="58" t="str">
        <f>Total!C126</f>
        <v>Trần Thị Phương Thảo</v>
      </c>
      <c r="E131" s="58">
        <f>Total!E126</f>
        <v>1988</v>
      </c>
      <c r="F131" s="58" t="str">
        <f>Total!F126</f>
        <v>THCS</v>
      </c>
      <c r="G131" s="58" t="str">
        <f>Total!G126</f>
        <v>THCS Thị trấn Sóc Sơn</v>
      </c>
      <c r="H131" s="58" t="str">
        <f>Total!H126</f>
        <v>Sóc Sơn</v>
      </c>
      <c r="I131" s="58" t="str">
        <f>Total!I126</f>
        <v>001184057507</v>
      </c>
      <c r="J131" s="59" t="str">
        <f>Total!J126</f>
        <v>Giáo viên trung học cơ sở hạng II - V.07.04.31</v>
      </c>
    </row>
    <row r="132" spans="2:10" s="58" customFormat="1">
      <c r="B132" s="58">
        <f>Total!B127</f>
        <v>467</v>
      </c>
      <c r="C132" s="58" t="str">
        <f>Total!C127</f>
        <v>Võ Thị Thu Hương</v>
      </c>
      <c r="E132" s="58">
        <f>Total!E127</f>
        <v>1978</v>
      </c>
      <c r="F132" s="58" t="str">
        <f>Total!F127</f>
        <v>THPT</v>
      </c>
      <c r="G132" s="58" t="str">
        <f>Total!G127</f>
        <v>THPT Đoàn Kết</v>
      </c>
      <c r="H132" s="58" t="str">
        <f>Total!H127</f>
        <v>Bạch Mai</v>
      </c>
      <c r="I132" s="58" t="str">
        <f>Total!I127</f>
        <v>019177000235</v>
      </c>
      <c r="J132" s="59" t="str">
        <f>Total!J127</f>
        <v>Giáo viên trung học cơ sở hạng II - V.07.04.31</v>
      </c>
    </row>
    <row r="133" spans="2:10" s="58" customFormat="1">
      <c r="B133" s="58">
        <f>Total!B128</f>
        <v>468</v>
      </c>
      <c r="C133" s="58" t="str">
        <f>Total!C128</f>
        <v>Lê Thị Lý Hải</v>
      </c>
      <c r="E133" s="58">
        <f>Total!E128</f>
        <v>1979</v>
      </c>
      <c r="F133" s="58" t="str">
        <f>Total!F128</f>
        <v>TH</v>
      </c>
      <c r="G133" s="58" t="str">
        <f>Total!G128</f>
        <v>TH Nam Hồng</v>
      </c>
      <c r="H133" s="58" t="str">
        <f>Total!H128</f>
        <v xml:space="preserve">Phúc Thịnh </v>
      </c>
      <c r="I133" s="58" t="str">
        <f>Total!I128</f>
        <v>001192033920</v>
      </c>
      <c r="J133" s="59" t="str">
        <f>Total!J128</f>
        <v>Giáo viên tiểu học hạng III – V.07.03.29</v>
      </c>
    </row>
    <row r="134" spans="2:10" s="58" customFormat="1">
      <c r="B134" s="58">
        <f>Total!B129</f>
        <v>469</v>
      </c>
      <c r="C134" s="58" t="str">
        <f>Total!C129</f>
        <v>Nguyễn Hoài Linh</v>
      </c>
      <c r="E134" s="58">
        <f>Total!E129</f>
        <v>1992</v>
      </c>
      <c r="F134" s="58" t="str">
        <f>Total!F129</f>
        <v>THCS</v>
      </c>
      <c r="G134" s="58" t="str">
        <f>Total!G129</f>
        <v>THCS Uy Nỗ</v>
      </c>
      <c r="H134" s="58" t="str">
        <f>Total!H129</f>
        <v>Đông Anh</v>
      </c>
      <c r="I134" s="58" t="str">
        <f>Total!I129</f>
        <v>001179005747</v>
      </c>
      <c r="J134" s="59" t="str">
        <f>Total!J129</f>
        <v>Giáo viên trung học cơ sở hạng II - V.07.04.31</v>
      </c>
    </row>
    <row r="135" spans="2:10" s="58" customFormat="1">
      <c r="B135" s="58">
        <f>Total!B130</f>
        <v>470</v>
      </c>
      <c r="C135" s="58" t="str">
        <f>Total!C130</f>
        <v>Đặng Thị Mai Phương</v>
      </c>
      <c r="E135" s="58">
        <f>Total!E130</f>
        <v>1984</v>
      </c>
      <c r="F135" s="58" t="str">
        <f>Total!F130</f>
        <v>THCS</v>
      </c>
      <c r="G135" s="58" t="str">
        <f>Total!G130</f>
        <v>THCS Ngô Quyền</v>
      </c>
      <c r="H135" s="58" t="str">
        <f>Total!H130</f>
        <v>Đông Anh</v>
      </c>
      <c r="I135" s="58" t="str">
        <f>Total!I130</f>
        <v>‘001179007111</v>
      </c>
      <c r="J135" s="59" t="str">
        <f>Total!J130</f>
        <v>Giáo viên tiểu học hạng II – V.07.03.28</v>
      </c>
    </row>
    <row r="136" spans="2:10" s="58" customFormat="1">
      <c r="B136" s="58">
        <f>Total!B131</f>
        <v>471</v>
      </c>
      <c r="C136" s="58" t="str">
        <f>Total!C131</f>
        <v>Phạm Thị Lành</v>
      </c>
      <c r="E136" s="58">
        <f>Total!E131</f>
        <v>1982</v>
      </c>
      <c r="F136" s="58" t="str">
        <f>Total!F131</f>
        <v>THCS</v>
      </c>
      <c r="G136" s="58" t="str">
        <f>Total!G131</f>
        <v>THCS Bắc Hồng</v>
      </c>
      <c r="H136" s="58" t="str">
        <f>Total!H131</f>
        <v xml:space="preserve">Phúc Thịnh </v>
      </c>
      <c r="I136" s="58" t="str">
        <f>Total!I131</f>
        <v>001179014240</v>
      </c>
      <c r="J136" s="59" t="str">
        <f>Total!J131</f>
        <v>Giáo viên trung học phổ thông hạng III - V.07.05.15</v>
      </c>
    </row>
    <row r="137" spans="2:10" s="58" customFormat="1">
      <c r="B137" s="58">
        <f>Total!B132</f>
        <v>472</v>
      </c>
      <c r="C137" s="58" t="str">
        <f>Total!C132</f>
        <v>Phan Thị Thu Phương</v>
      </c>
      <c r="E137" s="58">
        <f>Total!E132</f>
        <v>1980</v>
      </c>
      <c r="F137" s="58" t="str">
        <f>Total!F132</f>
        <v>THCS</v>
      </c>
      <c r="G137" s="58" t="str">
        <f>Total!G132</f>
        <v>THCS Đông Hội</v>
      </c>
      <c r="H137" s="58" t="str">
        <f>Total!H132</f>
        <v>Đông Anh</v>
      </c>
      <c r="I137" s="58" t="str">
        <f>Total!I132</f>
        <v>001192049535</v>
      </c>
      <c r="J137" s="59" t="str">
        <f>Total!J132</f>
        <v>Giáo viên trung học cơ sở hạng III - V.07.04.32</v>
      </c>
    </row>
    <row r="138" spans="2:10" s="58" customFormat="1">
      <c r="B138" s="58">
        <f>Total!B133</f>
        <v>473</v>
      </c>
      <c r="C138" s="58" t="str">
        <f>Total!C133</f>
        <v>Nguyễn Thị Thu Hương</v>
      </c>
      <c r="E138" s="58">
        <f>Total!E133</f>
        <v>1979</v>
      </c>
      <c r="F138" s="58" t="str">
        <f>Total!F133</f>
        <v>THCS</v>
      </c>
      <c r="G138" s="58" t="str">
        <f>Total!G133</f>
        <v>THCS Nguyễn Huy Tưởng</v>
      </c>
      <c r="H138" s="58" t="str">
        <f>Total!H133</f>
        <v>Đông Anh</v>
      </c>
      <c r="I138" s="58" t="str">
        <f>Total!I133</f>
        <v>044188000007</v>
      </c>
      <c r="J138" s="59" t="str">
        <f>Total!J133</f>
        <v>Giáo viên trung học cơ sở hạng III - V.07.04.32</v>
      </c>
    </row>
    <row r="139" spans="2:10" s="58" customFormat="1">
      <c r="B139" s="58">
        <f>Total!B134</f>
        <v>474</v>
      </c>
      <c r="C139" s="58" t="str">
        <f>Total!C134</f>
        <v>Nhữ Thị Toàn Năng</v>
      </c>
      <c r="E139" s="58">
        <f>Total!E134</f>
        <v>1977</v>
      </c>
      <c r="F139" s="58" t="str">
        <f>Total!F134</f>
        <v>THCS</v>
      </c>
      <c r="G139" s="58" t="str">
        <f>Total!G134</f>
        <v>THCS Hải Bối</v>
      </c>
      <c r="H139" s="58" t="str">
        <f>Total!H134</f>
        <v>Vĩnh Thanh</v>
      </c>
      <c r="I139" s="58">
        <f>Total!I134</f>
        <v>1177009345</v>
      </c>
      <c r="J139" s="59" t="str">
        <f>Total!J134</f>
        <v>Giáo viên trung học cơ sở hạng II - V.07.04.31</v>
      </c>
    </row>
    <row r="140" spans="2:10" s="58" customFormat="1">
      <c r="B140" s="58">
        <f>Total!B135</f>
        <v>475</v>
      </c>
      <c r="C140" s="58" t="str">
        <f>Total!C135</f>
        <v>Lê Thị Thúy Hà</v>
      </c>
      <c r="E140" s="58">
        <f>Total!E135</f>
        <v>1979</v>
      </c>
      <c r="F140" s="58" t="str">
        <f>Total!F135</f>
        <v>THPT</v>
      </c>
      <c r="G140" s="58" t="str">
        <f>Total!G135</f>
        <v>THPT Liên Hà</v>
      </c>
      <c r="H140" s="58" t="str">
        <f>Total!H135</f>
        <v>Thư Lâm</v>
      </c>
      <c r="I140" s="58">
        <f>Total!I135</f>
        <v>1179014240</v>
      </c>
      <c r="J140" s="59" t="str">
        <f>Total!J135</f>
        <v>Giáo viên trung học phổ thông hạng III - V.07.05.15</v>
      </c>
    </row>
    <row r="141" spans="2:10" s="58" customFormat="1">
      <c r="B141" s="58">
        <f>Total!B136</f>
        <v>476</v>
      </c>
      <c r="C141" s="58" t="str">
        <f>Total!C136</f>
        <v>Bùi Thanh Thủy</v>
      </c>
      <c r="E141" s="58">
        <f>Total!E136</f>
        <v>1978</v>
      </c>
      <c r="F141" s="58" t="str">
        <f>Total!F136</f>
        <v>THPT</v>
      </c>
      <c r="G141" s="58" t="str">
        <f>Total!G136</f>
        <v>THPT Nguyễn Gia Thiều</v>
      </c>
      <c r="H141" s="58" t="str">
        <f>Total!H136</f>
        <v>Bồ Đề</v>
      </c>
      <c r="I141" s="58" t="str">
        <f>Total!I136</f>
        <v/>
      </c>
      <c r="J141" s="59" t="str">
        <f>Total!J136</f>
        <v/>
      </c>
    </row>
    <row r="142" spans="2:10" s="58" customFormat="1">
      <c r="B142" s="58">
        <f>Total!B137</f>
        <v>477</v>
      </c>
      <c r="C142" s="58" t="str">
        <f>Total!C137</f>
        <v>Nguyễn Thị Hằng</v>
      </c>
      <c r="E142" s="58">
        <f>Total!E137</f>
        <v>1982</v>
      </c>
      <c r="F142" s="58" t="str">
        <f>Total!F137</f>
        <v>THPT</v>
      </c>
      <c r="G142" s="58" t="str">
        <f>Total!G137</f>
        <v>THPT Đông Anh</v>
      </c>
      <c r="H142" s="58" t="str">
        <f>Total!H137</f>
        <v>Thư Lâm</v>
      </c>
      <c r="I142" s="58">
        <f>Total!I137</f>
        <v>1182033283</v>
      </c>
      <c r="J142" s="59" t="str">
        <f>Total!J137</f>
        <v>Giáo viên trung học phổ thông hạng II - V.07.05.14</v>
      </c>
    </row>
    <row r="143" spans="2:10" s="58" customFormat="1">
      <c r="B143" s="58">
        <f>Total!B138</f>
        <v>478</v>
      </c>
      <c r="C143" s="58" t="str">
        <f>Total!C138</f>
        <v>Nguyễn Thị Phương Anh</v>
      </c>
      <c r="E143" s="58">
        <f>Total!E138</f>
        <v>1978</v>
      </c>
      <c r="F143" s="58" t="str">
        <f>Total!F138</f>
        <v>THPT</v>
      </c>
      <c r="G143" s="58" t="str">
        <f>Total!G138</f>
        <v>THPT Đông Anh</v>
      </c>
      <c r="H143" s="58" t="str">
        <f>Total!H138</f>
        <v>Thư Lâm</v>
      </c>
      <c r="I143" s="58">
        <f>Total!I138</f>
        <v>1178003953</v>
      </c>
      <c r="J143" s="59" t="str">
        <f>Total!J138</f>
        <v>Giáo viên trung học phổ thông hạng III - V.07.05.15</v>
      </c>
    </row>
    <row r="144" spans="2:10" s="58" customFormat="1">
      <c r="B144" s="58">
        <f>Total!B139</f>
        <v>479</v>
      </c>
      <c r="C144" s="58" t="str">
        <f>Total!C139</f>
        <v>Đinh Thị Hoa</v>
      </c>
      <c r="E144" s="58">
        <f>Total!E139</f>
        <v>1992</v>
      </c>
      <c r="F144" s="58" t="str">
        <f>Total!F139</f>
        <v>TH</v>
      </c>
      <c r="G144" s="58" t="str">
        <f>Total!G139</f>
        <v>TH Tiền Phong A</v>
      </c>
      <c r="H144" s="58" t="str">
        <f>Total!H139</f>
        <v xml:space="preserve">Mê Linh </v>
      </c>
      <c r="I144" s="58">
        <f>Total!I139</f>
        <v>1192033920</v>
      </c>
      <c r="J144" s="59" t="str">
        <f>Total!J139</f>
        <v>Giáo viên tiểu học hạng III – V.07.03.29</v>
      </c>
    </row>
    <row r="145" spans="2:10" s="58" customFormat="1">
      <c r="B145" s="58">
        <f>Total!B140</f>
        <v>480</v>
      </c>
      <c r="C145" s="58" t="str">
        <f>Total!C140</f>
        <v>Nguyễn Thị Quỳnh Thu</v>
      </c>
      <c r="E145" s="58">
        <f>Total!E140</f>
        <v>1986</v>
      </c>
      <c r="F145" s="58" t="str">
        <f>Total!F140</f>
        <v>THPT</v>
      </c>
      <c r="G145" s="58" t="str">
        <f>Total!G140</f>
        <v>THPT Vân Nội</v>
      </c>
      <c r="H145" s="58" t="str">
        <f>Total!H140</f>
        <v>Phúc Thịnh</v>
      </c>
      <c r="I145" s="58">
        <f>Total!I140</f>
        <v>1186019155</v>
      </c>
      <c r="J145" s="59" t="str">
        <f>Total!J140</f>
        <v>Giáo viên trung học phổ thông hạng III - V.07.05.15</v>
      </c>
    </row>
    <row r="146" spans="2:10" s="58" customFormat="1"/>
    <row r="147" spans="2:10" s="58" customFormat="1"/>
    <row r="148" spans="2:10" s="58" customFormat="1"/>
    <row r="149" spans="2:10" s="58" customFormat="1"/>
    <row r="150" spans="2:10" s="58" customFormat="1"/>
    <row r="151" spans="2:10" s="58" customFormat="1"/>
    <row r="152" spans="2:10" s="58" customFormat="1"/>
    <row r="153" spans="2:10" s="58" customFormat="1"/>
    <row r="154" spans="2:10" s="58" customFormat="1"/>
    <row r="155" spans="2:10" s="58" customFormat="1"/>
    <row r="156" spans="2:10" s="58" customFormat="1"/>
    <row r="157" spans="2:10" s="58" customFormat="1"/>
    <row r="158" spans="2:10" s="58" customFormat="1"/>
    <row r="159" spans="2:10" s="58" customFormat="1"/>
    <row r="160" spans="2:10" s="58" customFormat="1"/>
    <row r="161" s="58" customFormat="1"/>
    <row r="162" s="58" customFormat="1"/>
    <row r="163" s="58" customFormat="1"/>
    <row r="164" s="58" customFormat="1"/>
    <row r="165" s="58" customFormat="1"/>
    <row r="166" s="58" customFormat="1"/>
    <row r="167" s="58" customFormat="1"/>
    <row r="168" s="58" customFormat="1"/>
    <row r="169" s="58" customFormat="1"/>
    <row r="170" s="58" customFormat="1"/>
    <row r="171" s="58" customFormat="1"/>
    <row r="172" s="58" customFormat="1"/>
    <row r="173" s="58" customFormat="1"/>
    <row r="174" s="58" customFormat="1"/>
    <row r="175" s="58" customFormat="1"/>
    <row r="176" s="58" customFormat="1"/>
    <row r="177" s="58" customFormat="1"/>
    <row r="178" s="58" customFormat="1"/>
    <row r="179" s="58" customFormat="1"/>
    <row r="180" s="58" customFormat="1"/>
    <row r="181" s="58" customFormat="1"/>
    <row r="182" s="58" customFormat="1"/>
    <row r="183" s="58" customFormat="1"/>
    <row r="184" s="58" customFormat="1"/>
  </sheetData>
  <mergeCells count="18">
    <mergeCell ref="E4:E5"/>
    <mergeCell ref="F4:F5"/>
    <mergeCell ref="R4:R5"/>
    <mergeCell ref="S4:S5"/>
    <mergeCell ref="T4:T5"/>
    <mergeCell ref="U4:U5"/>
    <mergeCell ref="A1:U1"/>
    <mergeCell ref="A2:U2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93D5-BFB2-45F7-BC27-5195A2701C6B}">
  <sheetPr codeName="Sheet9"/>
  <dimension ref="A1:J140"/>
  <sheetViews>
    <sheetView workbookViewId="0">
      <selection activeCell="A121" sqref="A1:J140"/>
    </sheetView>
  </sheetViews>
  <sheetFormatPr defaultRowHeight="15"/>
  <cols>
    <col min="1" max="1" width="3" bestFit="1" customWidth="1"/>
    <col min="2" max="2" width="4" bestFit="1" customWidth="1"/>
    <col min="3" max="3" width="22.85546875" bestFit="1" customWidth="1"/>
    <col min="4" max="4" width="25.28515625" bestFit="1" customWidth="1"/>
    <col min="5" max="5" width="5" bestFit="1" customWidth="1"/>
    <col min="6" max="6" width="5.42578125" bestFit="1" customWidth="1"/>
    <col min="7" max="7" width="23.140625" bestFit="1" customWidth="1"/>
    <col min="8" max="8" width="11.7109375" bestFit="1" customWidth="1"/>
    <col min="9" max="9" width="25.140625" bestFit="1" customWidth="1"/>
    <col min="10" max="10" width="46" bestFit="1" customWidth="1"/>
  </cols>
  <sheetData>
    <row r="1" spans="1:10">
      <c r="A1">
        <v>1</v>
      </c>
      <c r="B1">
        <v>341</v>
      </c>
      <c r="C1" t="s">
        <v>57</v>
      </c>
      <c r="D1" t="s">
        <v>668</v>
      </c>
      <c r="E1">
        <v>1977</v>
      </c>
      <c r="F1" t="s">
        <v>30</v>
      </c>
      <c r="G1" t="s">
        <v>58</v>
      </c>
      <c r="H1" t="s">
        <v>59</v>
      </c>
      <c r="I1">
        <v>1177043501</v>
      </c>
      <c r="J1" t="s">
        <v>315</v>
      </c>
    </row>
    <row r="2" spans="1:10">
      <c r="A2">
        <v>2</v>
      </c>
      <c r="B2">
        <v>342</v>
      </c>
      <c r="C2" t="s">
        <v>60</v>
      </c>
      <c r="D2" t="s">
        <v>664</v>
      </c>
      <c r="E2">
        <v>1976</v>
      </c>
      <c r="F2" t="s">
        <v>21</v>
      </c>
      <c r="G2" t="s">
        <v>26</v>
      </c>
      <c r="H2" t="s">
        <v>61</v>
      </c>
      <c r="I2" t="s">
        <v>518</v>
      </c>
      <c r="J2" t="s">
        <v>315</v>
      </c>
    </row>
    <row r="3" spans="1:10">
      <c r="A3">
        <v>3</v>
      </c>
      <c r="B3">
        <v>343</v>
      </c>
      <c r="C3" t="s">
        <v>685</v>
      </c>
      <c r="D3" t="s">
        <v>684</v>
      </c>
      <c r="E3">
        <v>1977</v>
      </c>
      <c r="F3" t="s">
        <v>21</v>
      </c>
      <c r="G3" t="s">
        <v>62</v>
      </c>
      <c r="H3" t="s">
        <v>61</v>
      </c>
      <c r="I3" t="s">
        <v>715</v>
      </c>
      <c r="J3" t="s">
        <v>711</v>
      </c>
    </row>
    <row r="4" spans="1:10">
      <c r="A4">
        <v>4</v>
      </c>
      <c r="B4">
        <v>344</v>
      </c>
      <c r="C4" t="s">
        <v>63</v>
      </c>
      <c r="D4" t="s">
        <v>670</v>
      </c>
      <c r="E4">
        <v>1975</v>
      </c>
      <c r="F4" t="s">
        <v>21</v>
      </c>
      <c r="G4" t="s">
        <v>64</v>
      </c>
      <c r="H4" t="s">
        <v>27</v>
      </c>
      <c r="I4" t="s">
        <v>651</v>
      </c>
      <c r="J4" t="s">
        <v>315</v>
      </c>
    </row>
    <row r="5" spans="1:10">
      <c r="A5">
        <v>5</v>
      </c>
      <c r="B5">
        <v>345</v>
      </c>
      <c r="C5" t="s">
        <v>65</v>
      </c>
      <c r="D5" t="s">
        <v>667</v>
      </c>
      <c r="E5">
        <v>1977</v>
      </c>
      <c r="F5" t="s">
        <v>21</v>
      </c>
      <c r="G5" t="s">
        <v>66</v>
      </c>
      <c r="H5" t="s">
        <v>27</v>
      </c>
      <c r="I5" t="s">
        <v>586</v>
      </c>
      <c r="J5" t="s">
        <v>394</v>
      </c>
    </row>
    <row r="6" spans="1:10">
      <c r="A6">
        <v>6</v>
      </c>
      <c r="B6">
        <v>4</v>
      </c>
      <c r="C6" t="s">
        <v>67</v>
      </c>
      <c r="D6" t="s">
        <v>669</v>
      </c>
      <c r="E6">
        <v>1983</v>
      </c>
      <c r="F6" t="s">
        <v>19</v>
      </c>
      <c r="G6" t="s">
        <v>68</v>
      </c>
      <c r="H6" t="s">
        <v>20</v>
      </c>
      <c r="I6" t="s">
        <v>1211</v>
      </c>
      <c r="J6" t="s">
        <v>377</v>
      </c>
    </row>
    <row r="7" spans="1:10">
      <c r="A7">
        <v>7</v>
      </c>
      <c r="B7">
        <v>347</v>
      </c>
      <c r="C7" t="s">
        <v>69</v>
      </c>
      <c r="D7" t="s">
        <v>661</v>
      </c>
      <c r="E7">
        <v>1975</v>
      </c>
      <c r="F7" t="s">
        <v>21</v>
      </c>
      <c r="G7" t="s">
        <v>70</v>
      </c>
      <c r="H7" t="s">
        <v>71</v>
      </c>
      <c r="I7" t="s">
        <v>405</v>
      </c>
      <c r="J7" t="s">
        <v>315</v>
      </c>
    </row>
    <row r="8" spans="1:10">
      <c r="A8">
        <v>8</v>
      </c>
      <c r="B8">
        <v>348</v>
      </c>
      <c r="C8" t="s">
        <v>72</v>
      </c>
      <c r="D8" t="s">
        <v>662</v>
      </c>
      <c r="E8">
        <v>1977</v>
      </c>
      <c r="F8" t="s">
        <v>19</v>
      </c>
      <c r="G8" t="s">
        <v>73</v>
      </c>
      <c r="H8" t="s">
        <v>71</v>
      </c>
      <c r="I8" t="s">
        <v>411</v>
      </c>
      <c r="J8" t="s">
        <v>377</v>
      </c>
    </row>
    <row r="9" spans="1:10">
      <c r="A9">
        <v>9</v>
      </c>
      <c r="B9">
        <v>349</v>
      </c>
      <c r="C9" t="s">
        <v>74</v>
      </c>
      <c r="D9" t="s">
        <v>665</v>
      </c>
      <c r="E9">
        <v>1975</v>
      </c>
      <c r="F9" t="s">
        <v>21</v>
      </c>
      <c r="G9" t="s">
        <v>75</v>
      </c>
      <c r="H9" t="s">
        <v>76</v>
      </c>
      <c r="I9" t="s">
        <v>537</v>
      </c>
      <c r="J9" t="s">
        <v>315</v>
      </c>
    </row>
    <row r="10" spans="1:10">
      <c r="A10">
        <v>10</v>
      </c>
      <c r="B10">
        <v>350</v>
      </c>
      <c r="C10" t="s">
        <v>77</v>
      </c>
      <c r="D10" t="s">
        <v>663</v>
      </c>
      <c r="E10">
        <v>1976</v>
      </c>
      <c r="F10" t="s">
        <v>21</v>
      </c>
      <c r="G10" t="s">
        <v>78</v>
      </c>
      <c r="H10" t="s">
        <v>76</v>
      </c>
      <c r="I10" t="s">
        <v>471</v>
      </c>
      <c r="J10" t="s">
        <v>394</v>
      </c>
    </row>
    <row r="11" spans="1:10">
      <c r="A11">
        <v>11</v>
      </c>
      <c r="B11">
        <v>351</v>
      </c>
      <c r="C11" t="s">
        <v>79</v>
      </c>
      <c r="D11" t="s">
        <v>678</v>
      </c>
      <c r="E11">
        <v>1975</v>
      </c>
      <c r="F11" t="s">
        <v>21</v>
      </c>
      <c r="G11" t="s">
        <v>80</v>
      </c>
      <c r="H11" t="s">
        <v>81</v>
      </c>
    </row>
    <row r="12" spans="1:10">
      <c r="A12">
        <v>12</v>
      </c>
      <c r="B12">
        <v>352</v>
      </c>
      <c r="C12" t="s">
        <v>82</v>
      </c>
      <c r="D12" t="s">
        <v>683</v>
      </c>
      <c r="E12">
        <v>1984</v>
      </c>
      <c r="F12" t="s">
        <v>21</v>
      </c>
      <c r="G12" t="s">
        <v>83</v>
      </c>
      <c r="H12" t="s">
        <v>81</v>
      </c>
      <c r="I12">
        <v>1184022018</v>
      </c>
      <c r="J12" t="s">
        <v>394</v>
      </c>
    </row>
    <row r="13" spans="1:10">
      <c r="A13">
        <v>13</v>
      </c>
      <c r="B13">
        <v>353</v>
      </c>
      <c r="C13" t="s">
        <v>84</v>
      </c>
      <c r="D13" t="s">
        <v>680</v>
      </c>
      <c r="E13">
        <v>1976</v>
      </c>
      <c r="F13" t="s">
        <v>21</v>
      </c>
      <c r="G13" t="s">
        <v>83</v>
      </c>
      <c r="H13" t="s">
        <v>81</v>
      </c>
      <c r="I13" t="s">
        <v>1010</v>
      </c>
      <c r="J13" t="s">
        <v>394</v>
      </c>
    </row>
    <row r="14" spans="1:10">
      <c r="A14">
        <v>14</v>
      </c>
      <c r="B14">
        <v>354</v>
      </c>
      <c r="C14" t="s">
        <v>85</v>
      </c>
      <c r="D14" t="s">
        <v>675</v>
      </c>
      <c r="E14">
        <v>1974</v>
      </c>
      <c r="F14" t="s">
        <v>21</v>
      </c>
      <c r="G14" t="s">
        <v>86</v>
      </c>
      <c r="H14" t="s">
        <v>81</v>
      </c>
      <c r="I14">
        <v>1074022571</v>
      </c>
      <c r="J14" t="s">
        <v>315</v>
      </c>
    </row>
    <row r="15" spans="1:10">
      <c r="A15">
        <v>15</v>
      </c>
      <c r="B15">
        <v>355</v>
      </c>
      <c r="C15" t="s">
        <v>87</v>
      </c>
      <c r="D15" t="s">
        <v>676</v>
      </c>
      <c r="E15">
        <v>1984</v>
      </c>
      <c r="F15" t="s">
        <v>19</v>
      </c>
      <c r="G15" t="s">
        <v>88</v>
      </c>
      <c r="H15" t="s">
        <v>20</v>
      </c>
      <c r="I15">
        <v>1184030240</v>
      </c>
      <c r="J15" t="s">
        <v>654</v>
      </c>
    </row>
    <row r="16" spans="1:10">
      <c r="A16">
        <v>16</v>
      </c>
      <c r="B16">
        <v>356</v>
      </c>
      <c r="C16" t="s">
        <v>89</v>
      </c>
      <c r="D16" t="s">
        <v>682</v>
      </c>
      <c r="E16">
        <v>1980</v>
      </c>
      <c r="F16" t="s">
        <v>19</v>
      </c>
      <c r="G16" t="s">
        <v>90</v>
      </c>
      <c r="H16" t="s">
        <v>91</v>
      </c>
      <c r="I16">
        <v>1180014694</v>
      </c>
      <c r="J16" t="s">
        <v>654</v>
      </c>
    </row>
    <row r="17" spans="1:10">
      <c r="A17">
        <v>17</v>
      </c>
      <c r="B17">
        <v>357</v>
      </c>
      <c r="C17" t="s">
        <v>92</v>
      </c>
      <c r="D17" t="s">
        <v>681</v>
      </c>
      <c r="E17">
        <v>1980</v>
      </c>
      <c r="F17" t="s">
        <v>19</v>
      </c>
      <c r="G17" t="s">
        <v>93</v>
      </c>
      <c r="H17" t="s">
        <v>94</v>
      </c>
      <c r="I17">
        <v>1180005662</v>
      </c>
      <c r="J17" t="s">
        <v>654</v>
      </c>
    </row>
    <row r="18" spans="1:10">
      <c r="A18">
        <v>18</v>
      </c>
      <c r="B18">
        <v>358</v>
      </c>
      <c r="C18" t="s">
        <v>95</v>
      </c>
      <c r="D18" t="s">
        <v>677</v>
      </c>
      <c r="E18">
        <v>1977</v>
      </c>
      <c r="F18" t="s">
        <v>19</v>
      </c>
      <c r="G18" t="s">
        <v>96</v>
      </c>
      <c r="H18" t="s">
        <v>97</v>
      </c>
      <c r="I18" t="s">
        <v>996</v>
      </c>
      <c r="J18" t="s">
        <v>654</v>
      </c>
    </row>
    <row r="19" spans="1:10">
      <c r="A19">
        <v>19</v>
      </c>
      <c r="B19">
        <v>359</v>
      </c>
      <c r="C19" t="s">
        <v>98</v>
      </c>
      <c r="D19" t="s">
        <v>679</v>
      </c>
      <c r="E19">
        <v>1977</v>
      </c>
      <c r="F19" t="s">
        <v>21</v>
      </c>
      <c r="G19" t="s">
        <v>99</v>
      </c>
      <c r="H19" t="s">
        <v>100</v>
      </c>
      <c r="I19">
        <v>27177000344</v>
      </c>
      <c r="J19" t="s">
        <v>315</v>
      </c>
    </row>
    <row r="20" spans="1:10">
      <c r="A20">
        <v>20</v>
      </c>
      <c r="B20">
        <v>360</v>
      </c>
      <c r="C20" t="s">
        <v>101</v>
      </c>
      <c r="D20" t="s">
        <v>674</v>
      </c>
      <c r="E20">
        <v>1976</v>
      </c>
      <c r="F20" t="s">
        <v>21</v>
      </c>
      <c r="G20" t="s">
        <v>99</v>
      </c>
      <c r="H20" t="s">
        <v>100</v>
      </c>
      <c r="I20">
        <v>1176045858</v>
      </c>
      <c r="J20" t="s">
        <v>315</v>
      </c>
    </row>
    <row r="21" spans="1:10">
      <c r="A21">
        <v>1</v>
      </c>
      <c r="B21">
        <v>361</v>
      </c>
      <c r="C21" t="s">
        <v>102</v>
      </c>
      <c r="D21" t="s">
        <v>1094</v>
      </c>
      <c r="E21">
        <v>1976</v>
      </c>
      <c r="F21" t="s">
        <v>21</v>
      </c>
      <c r="G21" t="s">
        <v>44</v>
      </c>
      <c r="H21" t="s">
        <v>100</v>
      </c>
      <c r="I21" t="s">
        <v>560</v>
      </c>
      <c r="J21" t="s">
        <v>315</v>
      </c>
    </row>
    <row r="22" spans="1:10">
      <c r="A22">
        <v>2</v>
      </c>
      <c r="B22">
        <v>362</v>
      </c>
      <c r="C22" t="s">
        <v>103</v>
      </c>
      <c r="D22" t="s">
        <v>1145</v>
      </c>
      <c r="E22">
        <v>1975</v>
      </c>
      <c r="F22" t="s">
        <v>21</v>
      </c>
      <c r="G22" t="s">
        <v>104</v>
      </c>
      <c r="H22" t="s">
        <v>20</v>
      </c>
      <c r="I22" t="s">
        <v>493</v>
      </c>
      <c r="J22" t="s">
        <v>327</v>
      </c>
    </row>
    <row r="23" spans="1:10">
      <c r="A23">
        <v>3</v>
      </c>
      <c r="B23">
        <v>363</v>
      </c>
      <c r="C23" t="s">
        <v>105</v>
      </c>
      <c r="D23" t="s">
        <v>1146</v>
      </c>
      <c r="E23">
        <v>1975</v>
      </c>
      <c r="F23" t="s">
        <v>21</v>
      </c>
      <c r="G23" t="s">
        <v>48</v>
      </c>
      <c r="H23" t="s">
        <v>100</v>
      </c>
      <c r="I23" t="s">
        <v>488</v>
      </c>
      <c r="J23" t="s">
        <v>358</v>
      </c>
    </row>
    <row r="24" spans="1:10">
      <c r="A24">
        <v>4</v>
      </c>
      <c r="B24">
        <v>364</v>
      </c>
      <c r="C24" t="s">
        <v>106</v>
      </c>
      <c r="D24" t="s">
        <v>1084</v>
      </c>
      <c r="E24">
        <v>1984</v>
      </c>
      <c r="F24" t="s">
        <v>30</v>
      </c>
      <c r="G24" t="s">
        <v>107</v>
      </c>
      <c r="H24" t="s">
        <v>100</v>
      </c>
      <c r="I24" t="s">
        <v>427</v>
      </c>
      <c r="J24" t="s">
        <v>377</v>
      </c>
    </row>
    <row r="25" spans="1:10">
      <c r="A25">
        <v>5</v>
      </c>
      <c r="B25">
        <v>365</v>
      </c>
      <c r="C25" t="s">
        <v>108</v>
      </c>
      <c r="D25" t="s">
        <v>1074</v>
      </c>
      <c r="E25">
        <v>1976</v>
      </c>
      <c r="F25" t="s">
        <v>30</v>
      </c>
      <c r="G25" t="s">
        <v>107</v>
      </c>
      <c r="H25" t="s">
        <v>100</v>
      </c>
      <c r="I25" t="s">
        <v>380</v>
      </c>
      <c r="J25" t="s">
        <v>377</v>
      </c>
    </row>
    <row r="26" spans="1:10">
      <c r="A26">
        <v>6</v>
      </c>
      <c r="B26">
        <v>366</v>
      </c>
      <c r="C26" t="s">
        <v>109</v>
      </c>
      <c r="D26" t="s">
        <v>1066</v>
      </c>
      <c r="E26">
        <v>1978</v>
      </c>
      <c r="F26" t="s">
        <v>30</v>
      </c>
      <c r="G26" t="s">
        <v>110</v>
      </c>
      <c r="H26" t="s">
        <v>100</v>
      </c>
      <c r="I26" t="s">
        <v>369</v>
      </c>
      <c r="J26" t="s">
        <v>315</v>
      </c>
    </row>
    <row r="27" spans="1:10">
      <c r="A27">
        <v>7</v>
      </c>
      <c r="B27">
        <v>367</v>
      </c>
      <c r="C27" t="s">
        <v>111</v>
      </c>
      <c r="D27" t="s">
        <v>1100</v>
      </c>
      <c r="E27">
        <v>1977</v>
      </c>
      <c r="F27" t="s">
        <v>30</v>
      </c>
      <c r="G27" t="s">
        <v>110</v>
      </c>
      <c r="H27" t="s">
        <v>100</v>
      </c>
      <c r="I27" t="s">
        <v>451</v>
      </c>
      <c r="J27" t="s">
        <v>327</v>
      </c>
    </row>
    <row r="28" spans="1:10">
      <c r="A28">
        <v>8</v>
      </c>
      <c r="B28">
        <v>368</v>
      </c>
      <c r="C28" t="s">
        <v>112</v>
      </c>
      <c r="D28" t="s">
        <v>1092</v>
      </c>
      <c r="E28">
        <v>1985</v>
      </c>
      <c r="F28" t="s">
        <v>30</v>
      </c>
      <c r="G28" t="s">
        <v>113</v>
      </c>
      <c r="H28" t="s">
        <v>114</v>
      </c>
      <c r="I28">
        <v>35185004411</v>
      </c>
      <c r="J28" t="s">
        <v>358</v>
      </c>
    </row>
    <row r="29" spans="1:10">
      <c r="A29">
        <v>9</v>
      </c>
      <c r="B29">
        <v>369</v>
      </c>
      <c r="C29" t="s">
        <v>115</v>
      </c>
      <c r="D29" t="s">
        <v>1077</v>
      </c>
      <c r="E29">
        <v>1987</v>
      </c>
      <c r="F29" t="s">
        <v>19</v>
      </c>
      <c r="G29" t="s">
        <v>116</v>
      </c>
      <c r="H29" t="s">
        <v>61</v>
      </c>
      <c r="I29" t="s">
        <v>845</v>
      </c>
      <c r="J29" t="s">
        <v>840</v>
      </c>
    </row>
    <row r="30" spans="1:10">
      <c r="A30">
        <v>10</v>
      </c>
      <c r="B30">
        <v>370</v>
      </c>
      <c r="C30" t="s">
        <v>117</v>
      </c>
      <c r="D30" t="s">
        <v>1147</v>
      </c>
      <c r="E30">
        <v>1983</v>
      </c>
      <c r="F30" t="s">
        <v>19</v>
      </c>
      <c r="G30" t="s">
        <v>118</v>
      </c>
      <c r="H30" t="s">
        <v>71</v>
      </c>
      <c r="I30" t="s">
        <v>895</v>
      </c>
      <c r="J30" t="s">
        <v>327</v>
      </c>
    </row>
    <row r="31" spans="1:10">
      <c r="A31">
        <v>11</v>
      </c>
      <c r="B31">
        <v>371</v>
      </c>
      <c r="C31" t="s">
        <v>119</v>
      </c>
      <c r="D31" t="s">
        <v>1148</v>
      </c>
      <c r="E31">
        <v>1984</v>
      </c>
      <c r="F31" t="s">
        <v>19</v>
      </c>
      <c r="G31" t="s">
        <v>120</v>
      </c>
      <c r="H31" t="s">
        <v>121</v>
      </c>
      <c r="I31" t="s">
        <v>940</v>
      </c>
      <c r="J31" t="s">
        <v>327</v>
      </c>
    </row>
    <row r="32" spans="1:10">
      <c r="A32">
        <v>12</v>
      </c>
      <c r="B32">
        <v>372</v>
      </c>
      <c r="C32" t="s">
        <v>122</v>
      </c>
      <c r="D32" t="s">
        <v>1098</v>
      </c>
      <c r="E32">
        <v>1978</v>
      </c>
      <c r="F32" t="s">
        <v>19</v>
      </c>
      <c r="G32" t="s">
        <v>123</v>
      </c>
      <c r="H32" t="s">
        <v>71</v>
      </c>
      <c r="I32" t="s">
        <v>962</v>
      </c>
      <c r="J32" t="s">
        <v>654</v>
      </c>
    </row>
    <row r="33" spans="1:10">
      <c r="A33">
        <v>13</v>
      </c>
      <c r="B33">
        <v>373</v>
      </c>
      <c r="C33" t="s">
        <v>124</v>
      </c>
      <c r="D33" t="s">
        <v>1059</v>
      </c>
      <c r="E33">
        <v>1985</v>
      </c>
      <c r="F33" t="s">
        <v>19</v>
      </c>
      <c r="G33" t="s">
        <v>125</v>
      </c>
      <c r="H33" t="s">
        <v>61</v>
      </c>
      <c r="I33" t="s">
        <v>1024</v>
      </c>
      <c r="J33" t="s">
        <v>327</v>
      </c>
    </row>
    <row r="34" spans="1:10">
      <c r="A34">
        <v>14</v>
      </c>
      <c r="B34">
        <v>374</v>
      </c>
      <c r="C34" t="s">
        <v>126</v>
      </c>
      <c r="D34" t="s">
        <v>1096</v>
      </c>
      <c r="E34">
        <v>1981</v>
      </c>
      <c r="F34" t="s">
        <v>19</v>
      </c>
      <c r="G34" t="s">
        <v>127</v>
      </c>
      <c r="H34" t="s">
        <v>121</v>
      </c>
      <c r="I34" t="s">
        <v>1189</v>
      </c>
      <c r="J34" t="s">
        <v>377</v>
      </c>
    </row>
    <row r="35" spans="1:10">
      <c r="A35">
        <v>15</v>
      </c>
      <c r="B35">
        <v>375</v>
      </c>
      <c r="C35" t="s">
        <v>128</v>
      </c>
      <c r="D35" t="s">
        <v>1149</v>
      </c>
      <c r="E35">
        <v>1982</v>
      </c>
      <c r="F35" t="s">
        <v>19</v>
      </c>
      <c r="G35" t="s">
        <v>129</v>
      </c>
      <c r="H35" t="s">
        <v>27</v>
      </c>
      <c r="I35">
        <v>987892839</v>
      </c>
      <c r="J35" t="s">
        <v>734</v>
      </c>
    </row>
    <row r="36" spans="1:10">
      <c r="A36">
        <v>16</v>
      </c>
      <c r="B36">
        <v>376</v>
      </c>
      <c r="C36" t="s">
        <v>130</v>
      </c>
      <c r="D36" t="s">
        <v>1095</v>
      </c>
      <c r="E36">
        <v>1978</v>
      </c>
      <c r="F36" t="s">
        <v>21</v>
      </c>
      <c r="G36" t="s">
        <v>64</v>
      </c>
      <c r="H36" t="s">
        <v>27</v>
      </c>
      <c r="I36">
        <v>1178029862</v>
      </c>
      <c r="J36" t="s">
        <v>315</v>
      </c>
    </row>
    <row r="37" spans="1:10">
      <c r="A37">
        <v>17</v>
      </c>
      <c r="B37">
        <v>377</v>
      </c>
      <c r="C37" t="s">
        <v>132</v>
      </c>
      <c r="D37" t="s">
        <v>1097</v>
      </c>
      <c r="E37">
        <v>1978</v>
      </c>
      <c r="F37" t="s">
        <v>21</v>
      </c>
      <c r="G37" t="s">
        <v>133</v>
      </c>
      <c r="H37" t="s">
        <v>27</v>
      </c>
      <c r="I37">
        <v>1178010346</v>
      </c>
      <c r="J37" t="s">
        <v>315</v>
      </c>
    </row>
    <row r="38" spans="1:10">
      <c r="A38">
        <v>18</v>
      </c>
      <c r="B38">
        <v>378</v>
      </c>
      <c r="C38" t="s">
        <v>134</v>
      </c>
      <c r="D38" t="s">
        <v>1150</v>
      </c>
      <c r="E38">
        <v>1982</v>
      </c>
      <c r="F38" t="s">
        <v>21</v>
      </c>
      <c r="G38" t="s">
        <v>34</v>
      </c>
      <c r="H38" t="s">
        <v>27</v>
      </c>
      <c r="I38">
        <v>26182001327</v>
      </c>
      <c r="J38" t="s">
        <v>315</v>
      </c>
    </row>
    <row r="39" spans="1:10">
      <c r="A39">
        <v>19</v>
      </c>
      <c r="B39">
        <v>379</v>
      </c>
      <c r="C39" t="s">
        <v>135</v>
      </c>
      <c r="D39" t="s">
        <v>1151</v>
      </c>
      <c r="E39">
        <v>1979</v>
      </c>
      <c r="F39" t="s">
        <v>21</v>
      </c>
      <c r="G39" t="s">
        <v>34</v>
      </c>
      <c r="H39" t="s">
        <v>27</v>
      </c>
      <c r="I39">
        <v>1079050226</v>
      </c>
      <c r="J39" t="s">
        <v>315</v>
      </c>
    </row>
    <row r="40" spans="1:10">
      <c r="A40">
        <v>20</v>
      </c>
      <c r="B40">
        <v>380</v>
      </c>
      <c r="C40" t="s">
        <v>37</v>
      </c>
      <c r="D40" t="s">
        <v>1152</v>
      </c>
      <c r="E40">
        <v>1981</v>
      </c>
      <c r="F40" t="s">
        <v>21</v>
      </c>
      <c r="G40" t="s">
        <v>34</v>
      </c>
      <c r="H40" t="s">
        <v>27</v>
      </c>
      <c r="I40">
        <v>1181043471</v>
      </c>
      <c r="J40" t="s">
        <v>315</v>
      </c>
    </row>
    <row r="41" spans="1:10">
      <c r="A41">
        <v>1</v>
      </c>
      <c r="B41">
        <v>381</v>
      </c>
      <c r="C41" t="s">
        <v>136</v>
      </c>
      <c r="D41" t="s">
        <v>1109</v>
      </c>
      <c r="E41">
        <v>1979</v>
      </c>
      <c r="F41" t="s">
        <v>21</v>
      </c>
      <c r="G41" t="s">
        <v>26</v>
      </c>
      <c r="H41" t="s">
        <v>61</v>
      </c>
      <c r="I41" t="s">
        <v>1212</v>
      </c>
      <c r="J41" t="s">
        <v>430</v>
      </c>
    </row>
    <row r="42" spans="1:10">
      <c r="A42">
        <v>2</v>
      </c>
      <c r="B42">
        <v>382</v>
      </c>
      <c r="C42" t="s">
        <v>137</v>
      </c>
      <c r="D42" t="s">
        <v>1154</v>
      </c>
      <c r="E42">
        <v>1983</v>
      </c>
      <c r="F42" t="s">
        <v>19</v>
      </c>
      <c r="G42" t="s">
        <v>138</v>
      </c>
      <c r="H42" t="s">
        <v>39</v>
      </c>
      <c r="I42" t="s">
        <v>460</v>
      </c>
      <c r="J42" t="s">
        <v>315</v>
      </c>
    </row>
    <row r="43" spans="1:10">
      <c r="A43">
        <v>3</v>
      </c>
      <c r="B43">
        <v>383</v>
      </c>
      <c r="C43" t="s">
        <v>139</v>
      </c>
      <c r="D43" t="s">
        <v>1155</v>
      </c>
      <c r="E43">
        <v>1984</v>
      </c>
      <c r="F43" t="s">
        <v>21</v>
      </c>
      <c r="G43" t="s">
        <v>140</v>
      </c>
      <c r="H43" t="s">
        <v>61</v>
      </c>
      <c r="I43" t="s">
        <v>592</v>
      </c>
      <c r="J43" t="s">
        <v>315</v>
      </c>
    </row>
    <row r="44" spans="1:10">
      <c r="A44">
        <v>4</v>
      </c>
      <c r="B44">
        <v>384</v>
      </c>
      <c r="C44" t="s">
        <v>141</v>
      </c>
      <c r="D44" t="s">
        <v>1102</v>
      </c>
      <c r="E44">
        <v>1979</v>
      </c>
      <c r="F44" t="s">
        <v>21</v>
      </c>
      <c r="G44" t="s">
        <v>70</v>
      </c>
      <c r="H44" t="s">
        <v>71</v>
      </c>
      <c r="I44" t="s">
        <v>465</v>
      </c>
      <c r="J44" t="s">
        <v>315</v>
      </c>
    </row>
    <row r="45" spans="1:10">
      <c r="A45">
        <v>5</v>
      </c>
      <c r="B45">
        <v>385</v>
      </c>
      <c r="C45" t="s">
        <v>142</v>
      </c>
      <c r="D45" t="s">
        <v>1111</v>
      </c>
      <c r="E45">
        <v>1977</v>
      </c>
      <c r="F45" t="s">
        <v>21</v>
      </c>
      <c r="G45" t="s">
        <v>143</v>
      </c>
      <c r="H45" t="s">
        <v>121</v>
      </c>
      <c r="I45" t="s">
        <v>637</v>
      </c>
      <c r="J45" t="s">
        <v>315</v>
      </c>
    </row>
    <row r="46" spans="1:10">
      <c r="A46">
        <v>6</v>
      </c>
      <c r="B46">
        <v>386</v>
      </c>
      <c r="C46" t="s">
        <v>144</v>
      </c>
      <c r="D46" t="s">
        <v>1065</v>
      </c>
      <c r="E46">
        <v>1996</v>
      </c>
      <c r="F46" t="s">
        <v>19</v>
      </c>
      <c r="G46" t="s">
        <v>145</v>
      </c>
      <c r="H46" t="s">
        <v>146</v>
      </c>
      <c r="I46" t="s">
        <v>614</v>
      </c>
      <c r="J46" t="s">
        <v>315</v>
      </c>
    </row>
    <row r="47" spans="1:10">
      <c r="A47">
        <v>7</v>
      </c>
      <c r="B47">
        <v>387</v>
      </c>
      <c r="C47" t="s">
        <v>147</v>
      </c>
      <c r="D47" t="s">
        <v>1087</v>
      </c>
      <c r="E47">
        <v>1979</v>
      </c>
      <c r="F47" t="s">
        <v>30</v>
      </c>
      <c r="G47" t="s">
        <v>148</v>
      </c>
      <c r="H47" t="s">
        <v>149</v>
      </c>
      <c r="I47" t="s">
        <v>619</v>
      </c>
      <c r="J47" t="s">
        <v>327</v>
      </c>
    </row>
    <row r="48" spans="1:10">
      <c r="A48">
        <v>8</v>
      </c>
      <c r="B48">
        <v>388</v>
      </c>
      <c r="C48" t="s">
        <v>150</v>
      </c>
      <c r="D48" t="s">
        <v>1113</v>
      </c>
      <c r="E48">
        <v>1977</v>
      </c>
      <c r="F48" t="s">
        <v>30</v>
      </c>
      <c r="G48" t="s">
        <v>151</v>
      </c>
      <c r="H48" t="s">
        <v>81</v>
      </c>
      <c r="I48" t="s">
        <v>548</v>
      </c>
      <c r="J48" t="s">
        <v>315</v>
      </c>
    </row>
    <row r="49" spans="1:10">
      <c r="A49">
        <v>9</v>
      </c>
      <c r="B49">
        <v>389</v>
      </c>
      <c r="C49" t="s">
        <v>152</v>
      </c>
      <c r="D49" t="s">
        <v>1110</v>
      </c>
      <c r="E49">
        <v>1976</v>
      </c>
      <c r="F49" t="s">
        <v>30</v>
      </c>
      <c r="G49" t="s">
        <v>153</v>
      </c>
      <c r="H49" t="s">
        <v>76</v>
      </c>
      <c r="I49" t="s">
        <v>366</v>
      </c>
      <c r="J49" t="s">
        <v>327</v>
      </c>
    </row>
    <row r="50" spans="1:10">
      <c r="A50">
        <v>10</v>
      </c>
      <c r="B50">
        <v>390</v>
      </c>
      <c r="C50" t="s">
        <v>154</v>
      </c>
      <c r="D50" t="s">
        <v>1156</v>
      </c>
      <c r="E50">
        <v>1975</v>
      </c>
      <c r="F50" t="s">
        <v>30</v>
      </c>
      <c r="G50" t="s">
        <v>148</v>
      </c>
      <c r="H50" t="s">
        <v>149</v>
      </c>
      <c r="I50" t="s">
        <v>724</v>
      </c>
      <c r="J50" t="s">
        <v>315</v>
      </c>
    </row>
    <row r="51" spans="1:10">
      <c r="A51">
        <v>11</v>
      </c>
      <c r="B51">
        <v>391</v>
      </c>
      <c r="C51" t="s">
        <v>155</v>
      </c>
      <c r="D51" t="s">
        <v>1114</v>
      </c>
      <c r="E51">
        <v>1978</v>
      </c>
      <c r="F51" t="s">
        <v>21</v>
      </c>
      <c r="G51" t="s">
        <v>156</v>
      </c>
      <c r="H51" t="s">
        <v>157</v>
      </c>
      <c r="I51" t="s">
        <v>830</v>
      </c>
      <c r="J51" t="s">
        <v>394</v>
      </c>
    </row>
    <row r="52" spans="1:10">
      <c r="A52">
        <v>12</v>
      </c>
      <c r="B52">
        <v>392</v>
      </c>
      <c r="C52" t="s">
        <v>158</v>
      </c>
      <c r="D52" t="s">
        <v>1086</v>
      </c>
      <c r="E52">
        <v>1976</v>
      </c>
      <c r="F52" t="s">
        <v>21</v>
      </c>
      <c r="G52" t="s">
        <v>156</v>
      </c>
      <c r="H52" t="s">
        <v>157</v>
      </c>
      <c r="I52" t="s">
        <v>889</v>
      </c>
      <c r="J52" t="s">
        <v>315</v>
      </c>
    </row>
    <row r="53" spans="1:10">
      <c r="A53">
        <v>13</v>
      </c>
      <c r="B53">
        <v>393</v>
      </c>
      <c r="C53" t="s">
        <v>159</v>
      </c>
      <c r="D53" t="s">
        <v>1107</v>
      </c>
      <c r="E53">
        <v>1977</v>
      </c>
      <c r="F53" t="s">
        <v>21</v>
      </c>
      <c r="G53" t="s">
        <v>160</v>
      </c>
      <c r="H53" t="s">
        <v>76</v>
      </c>
      <c r="I53" t="s">
        <v>977</v>
      </c>
      <c r="J53" t="s">
        <v>315</v>
      </c>
    </row>
    <row r="54" spans="1:10">
      <c r="A54">
        <v>14</v>
      </c>
      <c r="B54">
        <v>394</v>
      </c>
      <c r="C54" t="s">
        <v>161</v>
      </c>
      <c r="D54" t="s">
        <v>1106</v>
      </c>
      <c r="E54">
        <v>1975</v>
      </c>
      <c r="F54" t="s">
        <v>21</v>
      </c>
      <c r="G54" t="s">
        <v>75</v>
      </c>
      <c r="H54" t="s">
        <v>76</v>
      </c>
      <c r="I54" t="s">
        <v>1034</v>
      </c>
      <c r="J54" t="s">
        <v>315</v>
      </c>
    </row>
    <row r="55" spans="1:10">
      <c r="A55">
        <v>15</v>
      </c>
      <c r="B55">
        <v>395</v>
      </c>
      <c r="C55" t="s">
        <v>162</v>
      </c>
      <c r="D55" t="s">
        <v>1108</v>
      </c>
      <c r="E55">
        <v>1975</v>
      </c>
      <c r="F55" t="s">
        <v>21</v>
      </c>
      <c r="G55" t="s">
        <v>78</v>
      </c>
      <c r="H55" t="s">
        <v>76</v>
      </c>
      <c r="I55" t="s">
        <v>1041</v>
      </c>
      <c r="J55" t="s">
        <v>327</v>
      </c>
    </row>
    <row r="56" spans="1:10">
      <c r="A56">
        <v>16</v>
      </c>
      <c r="B56">
        <v>739</v>
      </c>
      <c r="C56" t="s">
        <v>163</v>
      </c>
      <c r="D56" t="s">
        <v>1157</v>
      </c>
      <c r="E56">
        <v>1987</v>
      </c>
      <c r="F56" t="s">
        <v>30</v>
      </c>
      <c r="G56" t="s">
        <v>31</v>
      </c>
      <c r="H56" t="s">
        <v>32</v>
      </c>
      <c r="I56">
        <v>1187041867</v>
      </c>
      <c r="J56" t="s">
        <v>327</v>
      </c>
    </row>
    <row r="57" spans="1:10">
      <c r="A57">
        <v>17</v>
      </c>
      <c r="B57">
        <v>16</v>
      </c>
      <c r="C57" t="s">
        <v>164</v>
      </c>
      <c r="D57" t="s">
        <v>1057</v>
      </c>
      <c r="E57">
        <v>1979</v>
      </c>
      <c r="F57" t="s">
        <v>21</v>
      </c>
      <c r="G57" t="s">
        <v>165</v>
      </c>
      <c r="H57" t="s">
        <v>166</v>
      </c>
      <c r="I57">
        <v>1179000066</v>
      </c>
      <c r="J57" t="s">
        <v>394</v>
      </c>
    </row>
    <row r="58" spans="1:10">
      <c r="A58">
        <v>18</v>
      </c>
      <c r="B58">
        <v>398</v>
      </c>
      <c r="C58" t="s">
        <v>167</v>
      </c>
      <c r="D58" t="s">
        <v>1105</v>
      </c>
      <c r="E58">
        <v>1976</v>
      </c>
      <c r="F58" t="s">
        <v>21</v>
      </c>
      <c r="G58" t="s">
        <v>168</v>
      </c>
      <c r="H58" t="s">
        <v>81</v>
      </c>
      <c r="I58">
        <v>1176033068</v>
      </c>
      <c r="J58" t="s">
        <v>315</v>
      </c>
    </row>
    <row r="59" spans="1:10">
      <c r="A59">
        <v>19</v>
      </c>
      <c r="B59">
        <v>399</v>
      </c>
      <c r="C59" t="s">
        <v>169</v>
      </c>
      <c r="D59" t="s">
        <v>1158</v>
      </c>
      <c r="E59">
        <v>1975</v>
      </c>
      <c r="F59" t="s">
        <v>21</v>
      </c>
      <c r="G59" t="s">
        <v>80</v>
      </c>
      <c r="H59" t="s">
        <v>81</v>
      </c>
      <c r="I59">
        <v>1175032774</v>
      </c>
      <c r="J59" t="s">
        <v>315</v>
      </c>
    </row>
    <row r="60" spans="1:10">
      <c r="A60">
        <v>20</v>
      </c>
      <c r="B60">
        <v>400</v>
      </c>
      <c r="C60" t="s">
        <v>170</v>
      </c>
      <c r="D60" t="s">
        <v>1079</v>
      </c>
      <c r="E60">
        <v>1978</v>
      </c>
      <c r="F60" t="s">
        <v>21</v>
      </c>
      <c r="G60" t="s">
        <v>171</v>
      </c>
      <c r="H60" t="s">
        <v>81</v>
      </c>
      <c r="I60">
        <v>1178001577</v>
      </c>
      <c r="J60" t="s">
        <v>315</v>
      </c>
    </row>
    <row r="61" spans="1:10">
      <c r="A61">
        <v>1</v>
      </c>
      <c r="B61">
        <v>401</v>
      </c>
      <c r="C61" t="s">
        <v>172</v>
      </c>
      <c r="D61" t="s">
        <v>1117</v>
      </c>
      <c r="E61">
        <v>1975</v>
      </c>
      <c r="F61" t="s">
        <v>21</v>
      </c>
      <c r="G61" t="s">
        <v>86</v>
      </c>
      <c r="H61" t="s">
        <v>81</v>
      </c>
      <c r="I61" t="s">
        <v>386</v>
      </c>
      <c r="J61" t="s">
        <v>315</v>
      </c>
    </row>
    <row r="62" spans="1:10">
      <c r="A62">
        <v>2</v>
      </c>
      <c r="B62">
        <v>402</v>
      </c>
      <c r="C62" t="s">
        <v>173</v>
      </c>
      <c r="D62" t="s">
        <v>1159</v>
      </c>
      <c r="E62">
        <v>1976</v>
      </c>
      <c r="F62" t="s">
        <v>21</v>
      </c>
      <c r="G62" t="s">
        <v>86</v>
      </c>
      <c r="H62" t="s">
        <v>174</v>
      </c>
      <c r="I62" t="s">
        <v>416</v>
      </c>
      <c r="J62" t="s">
        <v>315</v>
      </c>
    </row>
    <row r="63" spans="1:10">
      <c r="A63">
        <v>3</v>
      </c>
      <c r="B63">
        <v>403</v>
      </c>
      <c r="C63" t="s">
        <v>175</v>
      </c>
      <c r="D63" t="s">
        <v>1065</v>
      </c>
      <c r="E63">
        <v>1994</v>
      </c>
      <c r="F63" t="s">
        <v>21</v>
      </c>
      <c r="G63" t="s">
        <v>48</v>
      </c>
      <c r="H63" t="s">
        <v>100</v>
      </c>
      <c r="I63" t="s">
        <v>609</v>
      </c>
      <c r="J63" t="s">
        <v>315</v>
      </c>
    </row>
    <row r="64" spans="1:10">
      <c r="A64">
        <v>4</v>
      </c>
      <c r="B64">
        <v>404</v>
      </c>
      <c r="C64" t="s">
        <v>176</v>
      </c>
      <c r="D64" t="s">
        <v>1160</v>
      </c>
      <c r="E64">
        <v>1979</v>
      </c>
      <c r="F64" t="s">
        <v>21</v>
      </c>
      <c r="G64" t="s">
        <v>177</v>
      </c>
      <c r="H64" t="s">
        <v>20</v>
      </c>
      <c r="I64" t="s">
        <v>528</v>
      </c>
      <c r="J64" t="s">
        <v>394</v>
      </c>
    </row>
    <row r="65" spans="1:10">
      <c r="A65">
        <v>5</v>
      </c>
      <c r="B65">
        <v>405</v>
      </c>
      <c r="C65" t="s">
        <v>178</v>
      </c>
      <c r="D65" t="s">
        <v>1051</v>
      </c>
      <c r="E65">
        <v>1979</v>
      </c>
      <c r="F65" t="s">
        <v>21</v>
      </c>
      <c r="G65" t="s">
        <v>179</v>
      </c>
      <c r="H65" t="s">
        <v>29</v>
      </c>
      <c r="I65" t="s">
        <v>753</v>
      </c>
      <c r="J65" t="s">
        <v>315</v>
      </c>
    </row>
    <row r="66" spans="1:10">
      <c r="A66">
        <v>6</v>
      </c>
      <c r="B66">
        <v>406</v>
      </c>
      <c r="C66" t="s">
        <v>180</v>
      </c>
      <c r="D66" t="s">
        <v>1047</v>
      </c>
      <c r="E66">
        <v>1979</v>
      </c>
      <c r="F66" t="s">
        <v>21</v>
      </c>
      <c r="G66" t="s">
        <v>42</v>
      </c>
      <c r="H66" t="s">
        <v>97</v>
      </c>
      <c r="I66" t="s">
        <v>784</v>
      </c>
      <c r="J66" t="s">
        <v>315</v>
      </c>
    </row>
    <row r="67" spans="1:10">
      <c r="A67">
        <v>7</v>
      </c>
      <c r="B67">
        <v>407</v>
      </c>
      <c r="C67" t="s">
        <v>181</v>
      </c>
      <c r="D67" t="s">
        <v>1064</v>
      </c>
      <c r="E67">
        <v>1978</v>
      </c>
      <c r="F67" t="s">
        <v>21</v>
      </c>
      <c r="G67" t="s">
        <v>43</v>
      </c>
      <c r="H67" t="s">
        <v>20</v>
      </c>
      <c r="I67" t="s">
        <v>796</v>
      </c>
      <c r="J67" t="s">
        <v>654</v>
      </c>
    </row>
    <row r="68" spans="1:10">
      <c r="A68">
        <v>8</v>
      </c>
      <c r="B68">
        <v>408</v>
      </c>
      <c r="C68" t="s">
        <v>182</v>
      </c>
      <c r="D68" t="s">
        <v>1161</v>
      </c>
      <c r="E68">
        <v>1974</v>
      </c>
      <c r="F68" t="s">
        <v>21</v>
      </c>
      <c r="G68" t="s">
        <v>25</v>
      </c>
      <c r="H68" t="s">
        <v>59</v>
      </c>
      <c r="I68" t="s">
        <v>801</v>
      </c>
      <c r="J68" t="s">
        <v>327</v>
      </c>
    </row>
    <row r="69" spans="1:10">
      <c r="A69">
        <v>9</v>
      </c>
      <c r="B69">
        <v>409</v>
      </c>
      <c r="C69" t="s">
        <v>183</v>
      </c>
      <c r="D69" t="s">
        <v>1116</v>
      </c>
      <c r="E69">
        <v>1977</v>
      </c>
      <c r="F69" t="s">
        <v>21</v>
      </c>
      <c r="G69" t="s">
        <v>184</v>
      </c>
      <c r="H69" t="s">
        <v>20</v>
      </c>
      <c r="I69" t="s">
        <v>852</v>
      </c>
      <c r="J69" t="s">
        <v>654</v>
      </c>
    </row>
    <row r="70" spans="1:10">
      <c r="A70">
        <v>10</v>
      </c>
      <c r="B70">
        <v>410</v>
      </c>
      <c r="C70" t="s">
        <v>185</v>
      </c>
      <c r="D70" t="s">
        <v>1162</v>
      </c>
      <c r="E70">
        <v>1976</v>
      </c>
      <c r="F70" t="s">
        <v>21</v>
      </c>
      <c r="G70" t="s">
        <v>186</v>
      </c>
      <c r="H70" t="s">
        <v>187</v>
      </c>
      <c r="I70" t="s">
        <v>878</v>
      </c>
      <c r="J70" t="s">
        <v>315</v>
      </c>
    </row>
    <row r="71" spans="1:10">
      <c r="A71">
        <v>11</v>
      </c>
      <c r="B71">
        <v>411</v>
      </c>
      <c r="C71" t="s">
        <v>188</v>
      </c>
      <c r="D71" t="s">
        <v>1163</v>
      </c>
      <c r="E71">
        <v>1975</v>
      </c>
      <c r="F71" t="s">
        <v>21</v>
      </c>
      <c r="G71" t="s">
        <v>23</v>
      </c>
      <c r="H71" t="s">
        <v>20</v>
      </c>
      <c r="I71" t="s">
        <v>889</v>
      </c>
      <c r="J71" t="s">
        <v>315</v>
      </c>
    </row>
    <row r="72" spans="1:10">
      <c r="A72">
        <v>12</v>
      </c>
      <c r="B72">
        <v>412</v>
      </c>
      <c r="C72" t="s">
        <v>189</v>
      </c>
      <c r="D72" t="s">
        <v>1115</v>
      </c>
      <c r="E72">
        <v>1974</v>
      </c>
      <c r="F72" t="s">
        <v>21</v>
      </c>
      <c r="G72" t="s">
        <v>41</v>
      </c>
      <c r="H72" t="s">
        <v>20</v>
      </c>
      <c r="I72" t="s">
        <v>931</v>
      </c>
      <c r="J72" t="s">
        <v>654</v>
      </c>
    </row>
    <row r="73" spans="1:10">
      <c r="A73">
        <v>13</v>
      </c>
      <c r="B73">
        <v>413</v>
      </c>
      <c r="C73" t="s">
        <v>190</v>
      </c>
      <c r="D73" t="s">
        <v>1085</v>
      </c>
      <c r="E73">
        <v>1989</v>
      </c>
      <c r="F73" t="s">
        <v>30</v>
      </c>
      <c r="G73" t="s">
        <v>191</v>
      </c>
      <c r="H73" t="s">
        <v>20</v>
      </c>
      <c r="I73" t="s">
        <v>1030</v>
      </c>
      <c r="J73" t="s">
        <v>327</v>
      </c>
    </row>
    <row r="74" spans="1:10">
      <c r="A74">
        <v>14</v>
      </c>
      <c r="B74">
        <v>414</v>
      </c>
      <c r="C74" t="s">
        <v>192</v>
      </c>
      <c r="D74" t="s">
        <v>1164</v>
      </c>
      <c r="E74">
        <v>1978</v>
      </c>
      <c r="F74" t="s">
        <v>30</v>
      </c>
      <c r="G74" t="s">
        <v>191</v>
      </c>
      <c r="H74" t="s">
        <v>20</v>
      </c>
      <c r="I74">
        <v>1178002480</v>
      </c>
      <c r="J74" t="s">
        <v>327</v>
      </c>
    </row>
    <row r="75" spans="1:10">
      <c r="A75">
        <v>15</v>
      </c>
      <c r="B75">
        <v>415</v>
      </c>
      <c r="C75" t="s">
        <v>193</v>
      </c>
      <c r="D75" t="s">
        <v>1053</v>
      </c>
      <c r="E75">
        <v>1977</v>
      </c>
      <c r="F75" t="s">
        <v>30</v>
      </c>
      <c r="G75" t="s">
        <v>107</v>
      </c>
      <c r="H75" t="s">
        <v>100</v>
      </c>
      <c r="I75">
        <v>1184039143</v>
      </c>
      <c r="J75" t="s">
        <v>654</v>
      </c>
    </row>
    <row r="76" spans="1:10">
      <c r="A76">
        <v>16</v>
      </c>
      <c r="B76">
        <v>416</v>
      </c>
      <c r="C76" t="s">
        <v>194</v>
      </c>
      <c r="D76" t="s">
        <v>1118</v>
      </c>
      <c r="E76">
        <v>1976</v>
      </c>
      <c r="F76" t="s">
        <v>30</v>
      </c>
      <c r="G76" t="s">
        <v>107</v>
      </c>
      <c r="H76" t="s">
        <v>100</v>
      </c>
      <c r="I76">
        <v>27176011754</v>
      </c>
      <c r="J76" t="s">
        <v>327</v>
      </c>
    </row>
    <row r="77" spans="1:10">
      <c r="A77">
        <v>17</v>
      </c>
      <c r="B77">
        <v>417</v>
      </c>
      <c r="C77" t="s">
        <v>195</v>
      </c>
      <c r="D77" t="s">
        <v>1072</v>
      </c>
      <c r="E77">
        <v>1996</v>
      </c>
      <c r="F77" t="s">
        <v>19</v>
      </c>
      <c r="G77" t="s">
        <v>196</v>
      </c>
      <c r="H77" t="s">
        <v>91</v>
      </c>
      <c r="I77">
        <v>1196039783</v>
      </c>
      <c r="J77" t="s">
        <v>654</v>
      </c>
    </row>
    <row r="78" spans="1:10">
      <c r="A78">
        <v>18</v>
      </c>
      <c r="B78">
        <v>418</v>
      </c>
      <c r="C78" t="s">
        <v>197</v>
      </c>
      <c r="D78" t="s">
        <v>1165</v>
      </c>
      <c r="E78">
        <v>1993</v>
      </c>
      <c r="F78" t="s">
        <v>19</v>
      </c>
      <c r="G78" t="s">
        <v>198</v>
      </c>
      <c r="H78" t="s">
        <v>100</v>
      </c>
      <c r="I78">
        <v>1193046294</v>
      </c>
      <c r="J78" t="s">
        <v>654</v>
      </c>
    </row>
    <row r="79" spans="1:10">
      <c r="A79">
        <v>19</v>
      </c>
      <c r="B79">
        <v>419</v>
      </c>
      <c r="C79" t="s">
        <v>199</v>
      </c>
      <c r="D79" t="s">
        <v>1060</v>
      </c>
      <c r="E79">
        <v>1980</v>
      </c>
      <c r="F79" t="s">
        <v>19</v>
      </c>
      <c r="G79" t="s">
        <v>200</v>
      </c>
      <c r="H79" t="s">
        <v>91</v>
      </c>
      <c r="I79">
        <v>1180044201</v>
      </c>
      <c r="J79" t="s">
        <v>654</v>
      </c>
    </row>
    <row r="80" spans="1:10">
      <c r="A80">
        <v>20</v>
      </c>
      <c r="B80">
        <v>420</v>
      </c>
      <c r="C80" t="s">
        <v>201</v>
      </c>
      <c r="D80" t="s">
        <v>1166</v>
      </c>
      <c r="E80">
        <v>1979</v>
      </c>
      <c r="F80" t="s">
        <v>19</v>
      </c>
      <c r="G80" t="s">
        <v>196</v>
      </c>
      <c r="H80" t="s">
        <v>91</v>
      </c>
      <c r="I80">
        <v>1179003519</v>
      </c>
      <c r="J80" t="s">
        <v>377</v>
      </c>
    </row>
    <row r="81" spans="1:10">
      <c r="A81">
        <v>1</v>
      </c>
      <c r="B81">
        <v>421</v>
      </c>
      <c r="C81" t="s">
        <v>202</v>
      </c>
      <c r="D81" t="s">
        <v>1122</v>
      </c>
      <c r="E81">
        <v>1978</v>
      </c>
      <c r="F81" t="s">
        <v>19</v>
      </c>
      <c r="G81" t="s">
        <v>203</v>
      </c>
      <c r="H81" t="s">
        <v>59</v>
      </c>
      <c r="I81" t="s">
        <v>528</v>
      </c>
      <c r="J81" t="s">
        <v>394</v>
      </c>
    </row>
    <row r="82" spans="1:10">
      <c r="A82">
        <v>2</v>
      </c>
      <c r="B82">
        <v>422</v>
      </c>
      <c r="C82" t="s">
        <v>204</v>
      </c>
      <c r="D82" t="s">
        <v>1167</v>
      </c>
      <c r="E82">
        <v>1977</v>
      </c>
      <c r="F82" t="s">
        <v>19</v>
      </c>
      <c r="G82" t="s">
        <v>205</v>
      </c>
      <c r="H82" t="s">
        <v>20</v>
      </c>
      <c r="I82" t="s">
        <v>498</v>
      </c>
      <c r="J82" t="s">
        <v>327</v>
      </c>
    </row>
    <row r="83" spans="1:10">
      <c r="A83">
        <v>3</v>
      </c>
      <c r="B83">
        <v>423</v>
      </c>
      <c r="C83" t="s">
        <v>206</v>
      </c>
      <c r="D83" t="s">
        <v>1061</v>
      </c>
      <c r="E83">
        <v>1977</v>
      </c>
      <c r="F83" t="s">
        <v>19</v>
      </c>
      <c r="G83" t="s">
        <v>207</v>
      </c>
      <c r="H83" t="s">
        <v>187</v>
      </c>
      <c r="I83" t="s">
        <v>523</v>
      </c>
      <c r="J83" t="s">
        <v>377</v>
      </c>
    </row>
    <row r="84" spans="1:10">
      <c r="A84">
        <v>4</v>
      </c>
      <c r="B84">
        <v>424</v>
      </c>
      <c r="C84" t="s">
        <v>208</v>
      </c>
      <c r="D84" t="s">
        <v>1045</v>
      </c>
      <c r="E84">
        <v>1977</v>
      </c>
      <c r="F84" t="s">
        <v>19</v>
      </c>
      <c r="G84" t="s">
        <v>209</v>
      </c>
      <c r="H84" t="s">
        <v>210</v>
      </c>
      <c r="I84" t="s">
        <v>727</v>
      </c>
      <c r="J84" t="s">
        <v>654</v>
      </c>
    </row>
    <row r="85" spans="1:10">
      <c r="A85">
        <v>5</v>
      </c>
      <c r="B85">
        <v>425</v>
      </c>
      <c r="C85" t="s">
        <v>211</v>
      </c>
      <c r="D85" t="s">
        <v>1168</v>
      </c>
      <c r="E85">
        <v>1976</v>
      </c>
      <c r="F85" t="s">
        <v>19</v>
      </c>
      <c r="G85" t="s">
        <v>212</v>
      </c>
      <c r="H85" t="s">
        <v>20</v>
      </c>
      <c r="I85" t="s">
        <v>728</v>
      </c>
      <c r="J85" t="s">
        <v>394</v>
      </c>
    </row>
    <row r="86" spans="1:10">
      <c r="A86">
        <v>6</v>
      </c>
      <c r="B86">
        <v>426</v>
      </c>
      <c r="C86" t="s">
        <v>213</v>
      </c>
      <c r="D86" t="s">
        <v>1169</v>
      </c>
      <c r="E86">
        <v>1996</v>
      </c>
      <c r="F86" t="s">
        <v>21</v>
      </c>
      <c r="G86" t="s">
        <v>23</v>
      </c>
      <c r="H86" t="s">
        <v>20</v>
      </c>
      <c r="I86" t="s">
        <v>738</v>
      </c>
      <c r="J86" t="s">
        <v>734</v>
      </c>
    </row>
    <row r="87" spans="1:10">
      <c r="A87">
        <v>7</v>
      </c>
      <c r="B87">
        <v>427</v>
      </c>
      <c r="C87" t="s">
        <v>214</v>
      </c>
      <c r="D87" t="s">
        <v>1123</v>
      </c>
      <c r="E87">
        <v>1996</v>
      </c>
      <c r="F87" t="s">
        <v>21</v>
      </c>
      <c r="G87" t="s">
        <v>215</v>
      </c>
      <c r="H87" t="s">
        <v>20</v>
      </c>
      <c r="I87" t="s">
        <v>858</v>
      </c>
      <c r="J87" t="s">
        <v>377</v>
      </c>
    </row>
    <row r="88" spans="1:10">
      <c r="A88">
        <v>8</v>
      </c>
      <c r="B88">
        <v>428</v>
      </c>
      <c r="C88" t="s">
        <v>194</v>
      </c>
      <c r="D88" t="s">
        <v>1118</v>
      </c>
      <c r="E88">
        <v>1994</v>
      </c>
      <c r="F88" t="s">
        <v>21</v>
      </c>
      <c r="G88" t="s">
        <v>177</v>
      </c>
      <c r="H88" t="s">
        <v>20</v>
      </c>
      <c r="I88" t="s">
        <v>872</v>
      </c>
      <c r="J88" t="s">
        <v>654</v>
      </c>
    </row>
    <row r="89" spans="1:10">
      <c r="A89">
        <v>9</v>
      </c>
      <c r="B89">
        <v>429</v>
      </c>
      <c r="C89" t="s">
        <v>40</v>
      </c>
      <c r="D89" t="s">
        <v>1120</v>
      </c>
      <c r="E89">
        <v>1976</v>
      </c>
      <c r="F89" t="s">
        <v>30</v>
      </c>
      <c r="G89" t="s">
        <v>46</v>
      </c>
      <c r="H89" t="s">
        <v>59</v>
      </c>
      <c r="I89" t="s">
        <v>883</v>
      </c>
      <c r="J89" t="s">
        <v>377</v>
      </c>
    </row>
    <row r="90" spans="1:10">
      <c r="A90">
        <v>10</v>
      </c>
      <c r="B90">
        <v>430</v>
      </c>
      <c r="C90" t="s">
        <v>216</v>
      </c>
      <c r="D90" t="s">
        <v>1170</v>
      </c>
      <c r="E90">
        <v>1978</v>
      </c>
      <c r="F90" t="s">
        <v>30</v>
      </c>
      <c r="G90" t="s">
        <v>46</v>
      </c>
      <c r="H90" t="s">
        <v>59</v>
      </c>
      <c r="I90">
        <v>1184057507</v>
      </c>
      <c r="J90" t="s">
        <v>315</v>
      </c>
    </row>
    <row r="91" spans="1:10">
      <c r="A91">
        <v>11</v>
      </c>
      <c r="B91">
        <v>431</v>
      </c>
      <c r="C91" t="s">
        <v>217</v>
      </c>
      <c r="D91" t="s">
        <v>1171</v>
      </c>
      <c r="E91">
        <v>1984</v>
      </c>
      <c r="F91" t="s">
        <v>30</v>
      </c>
      <c r="G91" t="s">
        <v>45</v>
      </c>
      <c r="H91" t="s">
        <v>187</v>
      </c>
      <c r="I91">
        <v>1184006475</v>
      </c>
      <c r="J91" t="s">
        <v>327</v>
      </c>
    </row>
    <row r="92" spans="1:10">
      <c r="A92">
        <v>12</v>
      </c>
      <c r="B92">
        <v>432</v>
      </c>
      <c r="C92" t="s">
        <v>218</v>
      </c>
      <c r="D92" t="s">
        <v>1063</v>
      </c>
      <c r="E92">
        <v>1982</v>
      </c>
      <c r="F92" t="s">
        <v>19</v>
      </c>
      <c r="G92" t="s">
        <v>219</v>
      </c>
      <c r="H92" t="s">
        <v>121</v>
      </c>
      <c r="I92">
        <v>1182042023</v>
      </c>
      <c r="J92" t="s">
        <v>377</v>
      </c>
    </row>
    <row r="93" spans="1:10">
      <c r="A93">
        <v>13</v>
      </c>
      <c r="B93">
        <v>433</v>
      </c>
      <c r="C93" t="s">
        <v>220</v>
      </c>
      <c r="D93" t="s">
        <v>1172</v>
      </c>
      <c r="E93">
        <v>1985</v>
      </c>
      <c r="F93" t="s">
        <v>19</v>
      </c>
      <c r="G93" t="s">
        <v>221</v>
      </c>
      <c r="H93" t="s">
        <v>39</v>
      </c>
      <c r="I93">
        <v>1185019297</v>
      </c>
      <c r="J93" t="s">
        <v>377</v>
      </c>
    </row>
    <row r="94" spans="1:10">
      <c r="A94">
        <v>14</v>
      </c>
      <c r="B94">
        <v>603</v>
      </c>
      <c r="C94" t="s">
        <v>222</v>
      </c>
      <c r="D94" t="s">
        <v>1173</v>
      </c>
      <c r="E94">
        <v>1977</v>
      </c>
      <c r="F94" t="s">
        <v>19</v>
      </c>
      <c r="G94" t="s">
        <v>223</v>
      </c>
      <c r="H94" t="s">
        <v>294</v>
      </c>
      <c r="I94">
        <v>1177010105</v>
      </c>
      <c r="J94" t="s">
        <v>377</v>
      </c>
    </row>
    <row r="95" spans="1:10">
      <c r="A95">
        <v>15</v>
      </c>
      <c r="B95">
        <v>481</v>
      </c>
      <c r="C95" t="s">
        <v>224</v>
      </c>
      <c r="D95" t="s">
        <v>1174</v>
      </c>
      <c r="E95">
        <v>1983</v>
      </c>
      <c r="F95" t="s">
        <v>30</v>
      </c>
      <c r="G95" t="s">
        <v>31</v>
      </c>
      <c r="H95" t="s">
        <v>225</v>
      </c>
      <c r="I95">
        <v>1083006421</v>
      </c>
      <c r="J95" t="s">
        <v>327</v>
      </c>
    </row>
    <row r="96" spans="1:10">
      <c r="A96">
        <v>16</v>
      </c>
      <c r="B96">
        <v>436</v>
      </c>
      <c r="C96" t="s">
        <v>226</v>
      </c>
      <c r="D96" t="s">
        <v>1175</v>
      </c>
      <c r="E96">
        <v>1982</v>
      </c>
      <c r="F96" t="s">
        <v>19</v>
      </c>
      <c r="G96" t="s">
        <v>227</v>
      </c>
      <c r="H96" t="s">
        <v>71</v>
      </c>
      <c r="I96">
        <v>35182000293</v>
      </c>
      <c r="J96" t="s">
        <v>377</v>
      </c>
    </row>
    <row r="97" spans="1:10">
      <c r="A97">
        <v>17</v>
      </c>
      <c r="B97">
        <v>437</v>
      </c>
      <c r="C97" t="s">
        <v>228</v>
      </c>
      <c r="D97" t="s">
        <v>1176</v>
      </c>
      <c r="E97">
        <v>1987</v>
      </c>
      <c r="F97" t="s">
        <v>19</v>
      </c>
      <c r="G97" t="s">
        <v>229</v>
      </c>
      <c r="H97" t="s">
        <v>71</v>
      </c>
      <c r="I97">
        <v>1187022144</v>
      </c>
      <c r="J97" t="s">
        <v>654</v>
      </c>
    </row>
    <row r="98" spans="1:10">
      <c r="A98">
        <v>18</v>
      </c>
      <c r="B98">
        <v>438</v>
      </c>
      <c r="C98" t="s">
        <v>230</v>
      </c>
      <c r="D98" t="s">
        <v>1177</v>
      </c>
      <c r="E98">
        <v>1980</v>
      </c>
      <c r="F98" t="s">
        <v>21</v>
      </c>
      <c r="G98" t="s">
        <v>34</v>
      </c>
      <c r="H98" t="s">
        <v>231</v>
      </c>
      <c r="I98" t="s">
        <v>1143</v>
      </c>
      <c r="J98" t="s">
        <v>1143</v>
      </c>
    </row>
    <row r="99" spans="1:10">
      <c r="A99">
        <v>19</v>
      </c>
      <c r="B99">
        <v>439</v>
      </c>
      <c r="C99" t="s">
        <v>232</v>
      </c>
      <c r="D99" t="s">
        <v>1178</v>
      </c>
      <c r="E99">
        <v>1975</v>
      </c>
      <c r="F99" t="s">
        <v>21</v>
      </c>
      <c r="G99" t="s">
        <v>62</v>
      </c>
      <c r="H99" t="s">
        <v>61</v>
      </c>
      <c r="I99" t="s">
        <v>1143</v>
      </c>
      <c r="J99" t="s">
        <v>1143</v>
      </c>
    </row>
    <row r="100" spans="1:10">
      <c r="A100">
        <v>20</v>
      </c>
      <c r="B100">
        <v>440</v>
      </c>
      <c r="C100" t="s">
        <v>233</v>
      </c>
      <c r="D100" t="s">
        <v>1121</v>
      </c>
      <c r="E100">
        <v>1980</v>
      </c>
      <c r="F100" t="s">
        <v>19</v>
      </c>
      <c r="G100" t="s">
        <v>234</v>
      </c>
      <c r="H100" t="s">
        <v>121</v>
      </c>
      <c r="I100">
        <v>1180020741</v>
      </c>
      <c r="J100" t="s">
        <v>377</v>
      </c>
    </row>
    <row r="101" spans="1:10">
      <c r="A101">
        <v>1</v>
      </c>
      <c r="B101">
        <v>441</v>
      </c>
      <c r="C101" t="s">
        <v>218</v>
      </c>
      <c r="D101" t="s">
        <v>1063</v>
      </c>
      <c r="E101">
        <v>1991</v>
      </c>
      <c r="F101" t="s">
        <v>19</v>
      </c>
      <c r="G101" t="s">
        <v>235</v>
      </c>
      <c r="H101" t="s">
        <v>100</v>
      </c>
      <c r="I101" t="s">
        <v>440</v>
      </c>
      <c r="J101" t="s">
        <v>327</v>
      </c>
    </row>
    <row r="102" spans="1:10">
      <c r="A102">
        <v>2</v>
      </c>
      <c r="B102">
        <v>442</v>
      </c>
      <c r="C102" t="s">
        <v>236</v>
      </c>
      <c r="D102" t="s">
        <v>1131</v>
      </c>
      <c r="E102">
        <v>1981</v>
      </c>
      <c r="F102" t="s">
        <v>21</v>
      </c>
      <c r="G102" t="s">
        <v>66</v>
      </c>
      <c r="H102" t="s">
        <v>121</v>
      </c>
      <c r="I102" t="s">
        <v>332</v>
      </c>
      <c r="J102" t="s">
        <v>327</v>
      </c>
    </row>
    <row r="103" spans="1:10">
      <c r="A103">
        <v>3</v>
      </c>
      <c r="B103">
        <v>443</v>
      </c>
      <c r="C103" t="s">
        <v>237</v>
      </c>
      <c r="D103" t="s">
        <v>1130</v>
      </c>
      <c r="E103">
        <v>1984</v>
      </c>
      <c r="F103" t="s">
        <v>21</v>
      </c>
      <c r="G103" t="s">
        <v>238</v>
      </c>
      <c r="H103" t="s">
        <v>121</v>
      </c>
      <c r="I103" t="s">
        <v>345</v>
      </c>
      <c r="J103" t="s">
        <v>327</v>
      </c>
    </row>
    <row r="104" spans="1:10">
      <c r="A104">
        <v>4</v>
      </c>
      <c r="B104">
        <v>444</v>
      </c>
      <c r="C104" t="s">
        <v>239</v>
      </c>
      <c r="D104" t="s">
        <v>1128</v>
      </c>
      <c r="E104">
        <v>1976</v>
      </c>
      <c r="F104" t="s">
        <v>21</v>
      </c>
      <c r="G104" t="s">
        <v>140</v>
      </c>
      <c r="H104" t="s">
        <v>61</v>
      </c>
      <c r="I104" t="s">
        <v>569</v>
      </c>
      <c r="J104" t="s">
        <v>327</v>
      </c>
    </row>
    <row r="105" spans="1:10">
      <c r="A105">
        <v>5</v>
      </c>
      <c r="B105">
        <v>445</v>
      </c>
      <c r="C105" t="s">
        <v>193</v>
      </c>
      <c r="D105" t="s">
        <v>1053</v>
      </c>
      <c r="E105">
        <v>1984</v>
      </c>
      <c r="F105" t="s">
        <v>19</v>
      </c>
      <c r="G105" t="s">
        <v>240</v>
      </c>
      <c r="H105" t="s">
        <v>121</v>
      </c>
      <c r="I105" t="s">
        <v>422</v>
      </c>
      <c r="J105" t="s">
        <v>315</v>
      </c>
    </row>
    <row r="106" spans="1:10">
      <c r="A106">
        <v>6</v>
      </c>
      <c r="B106">
        <v>446</v>
      </c>
      <c r="C106" t="s">
        <v>241</v>
      </c>
      <c r="D106" t="s">
        <v>1179</v>
      </c>
      <c r="E106">
        <v>2000</v>
      </c>
      <c r="F106" t="s">
        <v>21</v>
      </c>
      <c r="G106" t="s">
        <v>242</v>
      </c>
      <c r="H106" t="s">
        <v>243</v>
      </c>
      <c r="I106" t="s">
        <v>391</v>
      </c>
      <c r="J106" t="s">
        <v>315</v>
      </c>
    </row>
    <row r="107" spans="1:10">
      <c r="A107">
        <v>7</v>
      </c>
      <c r="B107">
        <v>447</v>
      </c>
      <c r="C107" t="s">
        <v>244</v>
      </c>
      <c r="D107" t="s">
        <v>1180</v>
      </c>
      <c r="E107">
        <v>1983</v>
      </c>
      <c r="F107" t="s">
        <v>21</v>
      </c>
      <c r="G107" t="s">
        <v>245</v>
      </c>
      <c r="H107" t="s">
        <v>71</v>
      </c>
      <c r="I107" t="s">
        <v>374</v>
      </c>
      <c r="J107" t="s">
        <v>315</v>
      </c>
    </row>
    <row r="108" spans="1:10">
      <c r="A108">
        <v>8</v>
      </c>
      <c r="B108">
        <v>448</v>
      </c>
      <c r="C108" t="s">
        <v>246</v>
      </c>
      <c r="D108" t="s">
        <v>1129</v>
      </c>
      <c r="E108">
        <v>1978</v>
      </c>
      <c r="F108" t="s">
        <v>21</v>
      </c>
      <c r="G108" t="s">
        <v>143</v>
      </c>
      <c r="H108" t="s">
        <v>27</v>
      </c>
      <c r="I108" t="s">
        <v>457</v>
      </c>
      <c r="J108" t="s">
        <v>315</v>
      </c>
    </row>
    <row r="109" spans="1:10">
      <c r="A109">
        <v>9</v>
      </c>
      <c r="B109">
        <v>449</v>
      </c>
      <c r="C109" t="s">
        <v>36</v>
      </c>
      <c r="D109" t="s">
        <v>1181</v>
      </c>
      <c r="E109">
        <v>1995</v>
      </c>
      <c r="F109" t="s">
        <v>30</v>
      </c>
      <c r="G109" t="s">
        <v>151</v>
      </c>
      <c r="H109" t="s">
        <v>81</v>
      </c>
      <c r="I109" t="s">
        <v>796</v>
      </c>
      <c r="J109" t="s">
        <v>654</v>
      </c>
    </row>
    <row r="110" spans="1:10">
      <c r="A110">
        <v>10</v>
      </c>
      <c r="B110">
        <v>450</v>
      </c>
      <c r="C110" t="s">
        <v>247</v>
      </c>
      <c r="D110" t="s">
        <v>1182</v>
      </c>
      <c r="E110">
        <v>1985</v>
      </c>
      <c r="F110" t="s">
        <v>30</v>
      </c>
      <c r="G110" t="s">
        <v>148</v>
      </c>
      <c r="H110" t="s">
        <v>149</v>
      </c>
      <c r="I110" t="s">
        <v>801</v>
      </c>
      <c r="J110" t="s">
        <v>327</v>
      </c>
    </row>
    <row r="111" spans="1:10">
      <c r="A111">
        <v>11</v>
      </c>
      <c r="B111">
        <v>451</v>
      </c>
      <c r="C111" t="s">
        <v>248</v>
      </c>
      <c r="D111" t="s">
        <v>1081</v>
      </c>
      <c r="E111">
        <v>1983</v>
      </c>
      <c r="F111" t="s">
        <v>30</v>
      </c>
      <c r="G111" t="s">
        <v>148</v>
      </c>
      <c r="H111" t="s">
        <v>149</v>
      </c>
      <c r="I111" t="s">
        <v>837</v>
      </c>
      <c r="J111" t="s">
        <v>654</v>
      </c>
    </row>
    <row r="112" spans="1:10">
      <c r="A112">
        <v>12</v>
      </c>
      <c r="B112">
        <v>452</v>
      </c>
      <c r="C112" t="s">
        <v>249</v>
      </c>
      <c r="D112" t="s">
        <v>1080</v>
      </c>
      <c r="E112">
        <v>1982</v>
      </c>
      <c r="F112" t="s">
        <v>30</v>
      </c>
      <c r="G112" t="s">
        <v>153</v>
      </c>
      <c r="H112" t="s">
        <v>76</v>
      </c>
      <c r="I112" t="s">
        <v>872</v>
      </c>
      <c r="J112" t="s">
        <v>654</v>
      </c>
    </row>
    <row r="113" spans="1:10">
      <c r="A113">
        <v>13</v>
      </c>
      <c r="B113">
        <v>453</v>
      </c>
      <c r="C113" t="s">
        <v>250</v>
      </c>
      <c r="D113" t="s">
        <v>1127</v>
      </c>
      <c r="E113">
        <v>1979</v>
      </c>
      <c r="F113" t="s">
        <v>30</v>
      </c>
      <c r="G113" t="s">
        <v>153</v>
      </c>
      <c r="H113" t="s">
        <v>76</v>
      </c>
      <c r="I113" t="s">
        <v>883</v>
      </c>
      <c r="J113" t="s">
        <v>377</v>
      </c>
    </row>
    <row r="114" spans="1:10">
      <c r="A114">
        <v>14</v>
      </c>
      <c r="B114">
        <v>454</v>
      </c>
      <c r="C114" t="s">
        <v>251</v>
      </c>
      <c r="D114" t="s">
        <v>1124</v>
      </c>
      <c r="E114">
        <v>1978</v>
      </c>
      <c r="F114" t="s">
        <v>30</v>
      </c>
      <c r="G114" t="s">
        <v>151</v>
      </c>
      <c r="H114" t="s">
        <v>81</v>
      </c>
      <c r="I114" t="s">
        <v>983</v>
      </c>
      <c r="J114" t="s">
        <v>327</v>
      </c>
    </row>
    <row r="115" spans="1:10">
      <c r="A115">
        <v>15</v>
      </c>
      <c r="B115">
        <v>455</v>
      </c>
      <c r="C115" t="s">
        <v>252</v>
      </c>
      <c r="D115" t="s">
        <v>1125</v>
      </c>
      <c r="E115">
        <v>1976</v>
      </c>
      <c r="F115" t="s">
        <v>30</v>
      </c>
      <c r="G115" t="s">
        <v>151</v>
      </c>
      <c r="H115" t="s">
        <v>81</v>
      </c>
      <c r="I115" t="s">
        <v>1213</v>
      </c>
      <c r="J115" t="s">
        <v>327</v>
      </c>
    </row>
    <row r="116" spans="1:10">
      <c r="A116">
        <v>16</v>
      </c>
      <c r="B116">
        <v>456</v>
      </c>
      <c r="C116" t="s">
        <v>253</v>
      </c>
      <c r="D116" t="s">
        <v>1126</v>
      </c>
      <c r="E116">
        <v>1976</v>
      </c>
      <c r="F116" t="s">
        <v>30</v>
      </c>
      <c r="G116" t="s">
        <v>153</v>
      </c>
      <c r="H116" t="s">
        <v>76</v>
      </c>
      <c r="I116" t="s">
        <v>1002</v>
      </c>
      <c r="J116" t="s">
        <v>394</v>
      </c>
    </row>
    <row r="117" spans="1:10">
      <c r="A117">
        <v>17</v>
      </c>
      <c r="B117">
        <v>457</v>
      </c>
      <c r="C117" t="s">
        <v>254</v>
      </c>
      <c r="D117" t="s">
        <v>1183</v>
      </c>
      <c r="E117">
        <v>1975</v>
      </c>
      <c r="F117" t="s">
        <v>30</v>
      </c>
      <c r="G117" t="s">
        <v>255</v>
      </c>
      <c r="H117" t="s">
        <v>81</v>
      </c>
      <c r="I117">
        <v>1175028245</v>
      </c>
      <c r="J117" t="s">
        <v>1190</v>
      </c>
    </row>
    <row r="118" spans="1:10">
      <c r="A118">
        <v>18</v>
      </c>
      <c r="B118">
        <v>458</v>
      </c>
      <c r="C118" t="s">
        <v>256</v>
      </c>
      <c r="D118" t="s">
        <v>1082</v>
      </c>
      <c r="E118">
        <v>1995</v>
      </c>
      <c r="F118" t="s">
        <v>21</v>
      </c>
      <c r="G118" t="s">
        <v>257</v>
      </c>
      <c r="H118" t="s">
        <v>157</v>
      </c>
      <c r="I118">
        <v>1195004906</v>
      </c>
      <c r="J118" t="s">
        <v>394</v>
      </c>
    </row>
    <row r="119" spans="1:10">
      <c r="A119">
        <v>19</v>
      </c>
      <c r="B119">
        <v>459</v>
      </c>
      <c r="C119" t="s">
        <v>176</v>
      </c>
      <c r="D119" t="s">
        <v>1160</v>
      </c>
      <c r="E119">
        <v>1975</v>
      </c>
      <c r="F119" t="s">
        <v>21</v>
      </c>
      <c r="G119" t="s">
        <v>258</v>
      </c>
      <c r="H119" t="s">
        <v>157</v>
      </c>
      <c r="I119" t="s">
        <v>1143</v>
      </c>
      <c r="J119" t="s">
        <v>1143</v>
      </c>
    </row>
    <row r="120" spans="1:10">
      <c r="A120">
        <v>20</v>
      </c>
      <c r="B120">
        <v>460</v>
      </c>
      <c r="C120" t="s">
        <v>259</v>
      </c>
      <c r="D120" t="s">
        <v>1058</v>
      </c>
      <c r="E120">
        <v>1983</v>
      </c>
      <c r="F120" t="s">
        <v>19</v>
      </c>
      <c r="G120" t="s">
        <v>260</v>
      </c>
      <c r="H120" t="s">
        <v>261</v>
      </c>
      <c r="I120">
        <v>1183053186</v>
      </c>
      <c r="J120" t="s">
        <v>654</v>
      </c>
    </row>
    <row r="121" spans="1:10">
      <c r="A121">
        <v>1</v>
      </c>
      <c r="B121">
        <v>482</v>
      </c>
      <c r="C121" t="s">
        <v>262</v>
      </c>
      <c r="D121" t="s">
        <v>1099</v>
      </c>
      <c r="E121">
        <v>1984</v>
      </c>
      <c r="F121" t="s">
        <v>30</v>
      </c>
      <c r="G121" t="s">
        <v>113</v>
      </c>
      <c r="H121" t="s">
        <v>114</v>
      </c>
      <c r="I121" t="s">
        <v>362</v>
      </c>
      <c r="J121" t="s">
        <v>358</v>
      </c>
    </row>
    <row r="122" spans="1:10">
      <c r="A122">
        <v>2</v>
      </c>
      <c r="B122">
        <v>462</v>
      </c>
      <c r="C122" t="s">
        <v>263</v>
      </c>
      <c r="D122" t="s">
        <v>1046</v>
      </c>
      <c r="E122">
        <v>1977</v>
      </c>
      <c r="F122" t="s">
        <v>21</v>
      </c>
      <c r="G122" t="s">
        <v>264</v>
      </c>
      <c r="H122" t="s">
        <v>149</v>
      </c>
      <c r="I122" t="s">
        <v>528</v>
      </c>
      <c r="J122" t="s">
        <v>394</v>
      </c>
    </row>
    <row r="123" spans="1:10">
      <c r="A123">
        <v>3</v>
      </c>
      <c r="B123">
        <v>463</v>
      </c>
      <c r="C123" t="s">
        <v>265</v>
      </c>
      <c r="D123" t="s">
        <v>1184</v>
      </c>
      <c r="E123">
        <v>1989</v>
      </c>
      <c r="F123" t="s">
        <v>19</v>
      </c>
      <c r="G123" t="s">
        <v>266</v>
      </c>
      <c r="H123" t="s">
        <v>81</v>
      </c>
      <c r="I123" t="s">
        <v>503</v>
      </c>
      <c r="J123" t="s">
        <v>327</v>
      </c>
    </row>
    <row r="124" spans="1:10">
      <c r="A124">
        <v>4</v>
      </c>
      <c r="B124">
        <v>464</v>
      </c>
      <c r="C124" t="s">
        <v>267</v>
      </c>
      <c r="D124" t="s">
        <v>1049</v>
      </c>
      <c r="E124">
        <v>1979</v>
      </c>
      <c r="F124" t="s">
        <v>21</v>
      </c>
      <c r="G124" t="s">
        <v>35</v>
      </c>
      <c r="H124" t="s">
        <v>81</v>
      </c>
      <c r="I124" t="s">
        <v>580</v>
      </c>
      <c r="J124" t="s">
        <v>394</v>
      </c>
    </row>
    <row r="125" spans="1:10">
      <c r="A125">
        <v>5</v>
      </c>
      <c r="B125">
        <v>465</v>
      </c>
      <c r="C125" t="s">
        <v>268</v>
      </c>
      <c r="D125" t="s">
        <v>666</v>
      </c>
      <c r="E125">
        <v>1975</v>
      </c>
      <c r="F125" t="s">
        <v>21</v>
      </c>
      <c r="G125" t="s">
        <v>171</v>
      </c>
      <c r="H125" t="s">
        <v>81</v>
      </c>
      <c r="I125" t="s">
        <v>508</v>
      </c>
      <c r="J125" t="s">
        <v>327</v>
      </c>
    </row>
    <row r="126" spans="1:10">
      <c r="A126">
        <v>6</v>
      </c>
      <c r="B126">
        <v>466</v>
      </c>
      <c r="C126" t="s">
        <v>269</v>
      </c>
      <c r="D126" t="s">
        <v>1078</v>
      </c>
      <c r="E126">
        <v>1988</v>
      </c>
      <c r="F126" t="s">
        <v>21</v>
      </c>
      <c r="G126" t="s">
        <v>270</v>
      </c>
      <c r="H126" t="s">
        <v>81</v>
      </c>
      <c r="I126" t="s">
        <v>339</v>
      </c>
      <c r="J126" t="s">
        <v>315</v>
      </c>
    </row>
    <row r="127" spans="1:10">
      <c r="A127">
        <v>7</v>
      </c>
      <c r="B127">
        <v>467</v>
      </c>
      <c r="C127" t="s">
        <v>271</v>
      </c>
      <c r="D127" t="s">
        <v>1185</v>
      </c>
      <c r="E127">
        <v>1978</v>
      </c>
      <c r="F127" t="s">
        <v>30</v>
      </c>
      <c r="G127" t="s">
        <v>33</v>
      </c>
      <c r="H127" t="s">
        <v>272</v>
      </c>
      <c r="I127" t="s">
        <v>745</v>
      </c>
      <c r="J127" t="s">
        <v>315</v>
      </c>
    </row>
    <row r="128" spans="1:10">
      <c r="A128">
        <v>8</v>
      </c>
      <c r="B128">
        <v>468</v>
      </c>
      <c r="C128" t="s">
        <v>273</v>
      </c>
      <c r="D128" t="s">
        <v>1052</v>
      </c>
      <c r="E128">
        <v>1979</v>
      </c>
      <c r="F128" t="s">
        <v>19</v>
      </c>
      <c r="G128" t="s">
        <v>274</v>
      </c>
      <c r="H128" t="s">
        <v>94</v>
      </c>
      <c r="I128" t="s">
        <v>761</v>
      </c>
      <c r="J128" t="s">
        <v>654</v>
      </c>
    </row>
    <row r="129" spans="1:10">
      <c r="A129">
        <v>9</v>
      </c>
      <c r="B129">
        <v>469</v>
      </c>
      <c r="C129" t="s">
        <v>275</v>
      </c>
      <c r="D129" t="s">
        <v>1062</v>
      </c>
      <c r="E129">
        <v>1992</v>
      </c>
      <c r="F129" t="s">
        <v>21</v>
      </c>
      <c r="G129" t="s">
        <v>104</v>
      </c>
      <c r="H129" t="s">
        <v>20</v>
      </c>
      <c r="I129" t="s">
        <v>769</v>
      </c>
      <c r="J129" t="s">
        <v>315</v>
      </c>
    </row>
    <row r="130" spans="1:10">
      <c r="A130">
        <v>10</v>
      </c>
      <c r="B130">
        <v>470</v>
      </c>
      <c r="C130" t="s">
        <v>276</v>
      </c>
      <c r="D130" t="s">
        <v>1137</v>
      </c>
      <c r="E130">
        <v>1984</v>
      </c>
      <c r="F130" t="s">
        <v>21</v>
      </c>
      <c r="G130" t="s">
        <v>38</v>
      </c>
      <c r="H130" t="s">
        <v>20</v>
      </c>
      <c r="I130" t="s">
        <v>790</v>
      </c>
      <c r="J130" t="s">
        <v>377</v>
      </c>
    </row>
    <row r="131" spans="1:10">
      <c r="A131">
        <v>11</v>
      </c>
      <c r="B131">
        <v>471</v>
      </c>
      <c r="C131" t="s">
        <v>277</v>
      </c>
      <c r="D131" t="s">
        <v>1186</v>
      </c>
      <c r="E131">
        <v>1982</v>
      </c>
      <c r="F131" t="s">
        <v>21</v>
      </c>
      <c r="G131" t="s">
        <v>22</v>
      </c>
      <c r="H131" t="s">
        <v>94</v>
      </c>
      <c r="I131" t="s">
        <v>808</v>
      </c>
      <c r="J131" t="s">
        <v>327</v>
      </c>
    </row>
    <row r="132" spans="1:10">
      <c r="A132">
        <v>12</v>
      </c>
      <c r="B132">
        <v>472</v>
      </c>
      <c r="C132" t="s">
        <v>278</v>
      </c>
      <c r="D132" t="s">
        <v>1134</v>
      </c>
      <c r="E132">
        <v>1980</v>
      </c>
      <c r="F132" t="s">
        <v>21</v>
      </c>
      <c r="G132" t="s">
        <v>43</v>
      </c>
      <c r="H132" t="s">
        <v>20</v>
      </c>
      <c r="I132" t="s">
        <v>864</v>
      </c>
      <c r="J132" t="s">
        <v>394</v>
      </c>
    </row>
    <row r="133" spans="1:10">
      <c r="A133">
        <v>13</v>
      </c>
      <c r="B133">
        <v>473</v>
      </c>
      <c r="C133" t="s">
        <v>194</v>
      </c>
      <c r="D133" t="s">
        <v>1118</v>
      </c>
      <c r="E133">
        <v>1979</v>
      </c>
      <c r="F133" t="s">
        <v>21</v>
      </c>
      <c r="G133" t="s">
        <v>47</v>
      </c>
      <c r="H133" t="s">
        <v>20</v>
      </c>
      <c r="I133" t="s">
        <v>969</v>
      </c>
      <c r="J133" t="s">
        <v>394</v>
      </c>
    </row>
    <row r="134" spans="1:10">
      <c r="A134">
        <v>14</v>
      </c>
      <c r="B134">
        <v>474</v>
      </c>
      <c r="C134" t="s">
        <v>279</v>
      </c>
      <c r="D134" t="s">
        <v>1187</v>
      </c>
      <c r="E134">
        <v>1977</v>
      </c>
      <c r="F134" t="s">
        <v>21</v>
      </c>
      <c r="G134" t="s">
        <v>24</v>
      </c>
      <c r="H134" t="s">
        <v>210</v>
      </c>
      <c r="I134">
        <v>1177009345</v>
      </c>
      <c r="J134" t="s">
        <v>315</v>
      </c>
    </row>
    <row r="135" spans="1:10">
      <c r="A135">
        <v>15</v>
      </c>
      <c r="B135">
        <v>475</v>
      </c>
      <c r="C135" t="s">
        <v>280</v>
      </c>
      <c r="D135" t="s">
        <v>1054</v>
      </c>
      <c r="E135">
        <v>1979</v>
      </c>
      <c r="F135" t="s">
        <v>30</v>
      </c>
      <c r="G135" t="s">
        <v>107</v>
      </c>
      <c r="H135" t="s">
        <v>100</v>
      </c>
      <c r="I135">
        <v>1179014240</v>
      </c>
      <c r="J135" t="s">
        <v>327</v>
      </c>
    </row>
    <row r="136" spans="1:10">
      <c r="A136">
        <v>16</v>
      </c>
      <c r="B136">
        <v>476</v>
      </c>
      <c r="C136" t="s">
        <v>281</v>
      </c>
      <c r="D136" t="s">
        <v>1188</v>
      </c>
      <c r="E136">
        <v>1978</v>
      </c>
      <c r="F136" t="s">
        <v>30</v>
      </c>
      <c r="G136" t="s">
        <v>282</v>
      </c>
      <c r="H136" t="s">
        <v>283</v>
      </c>
      <c r="I136" t="s">
        <v>1143</v>
      </c>
      <c r="J136" t="s">
        <v>1143</v>
      </c>
    </row>
    <row r="137" spans="1:10">
      <c r="A137">
        <v>17</v>
      </c>
      <c r="B137">
        <v>477</v>
      </c>
      <c r="C137" t="s">
        <v>128</v>
      </c>
      <c r="D137" t="s">
        <v>1149</v>
      </c>
      <c r="E137">
        <v>1982</v>
      </c>
      <c r="F137" t="s">
        <v>30</v>
      </c>
      <c r="G137" t="s">
        <v>110</v>
      </c>
      <c r="H137" t="s">
        <v>100</v>
      </c>
      <c r="I137">
        <v>1182033283</v>
      </c>
      <c r="J137" t="s">
        <v>358</v>
      </c>
    </row>
    <row r="138" spans="1:10">
      <c r="A138">
        <v>18</v>
      </c>
      <c r="B138">
        <v>478</v>
      </c>
      <c r="C138" t="s">
        <v>284</v>
      </c>
      <c r="D138" t="s">
        <v>1133</v>
      </c>
      <c r="E138">
        <v>1978</v>
      </c>
      <c r="F138" t="s">
        <v>30</v>
      </c>
      <c r="G138" t="s">
        <v>110</v>
      </c>
      <c r="H138" t="s">
        <v>100</v>
      </c>
      <c r="I138">
        <v>1178003953</v>
      </c>
      <c r="J138" t="s">
        <v>327</v>
      </c>
    </row>
    <row r="139" spans="1:10">
      <c r="A139">
        <v>19</v>
      </c>
      <c r="B139">
        <v>479</v>
      </c>
      <c r="C139" t="s">
        <v>285</v>
      </c>
      <c r="D139" t="s">
        <v>1048</v>
      </c>
      <c r="E139">
        <v>1992</v>
      </c>
      <c r="F139" t="s">
        <v>19</v>
      </c>
      <c r="G139" t="s">
        <v>286</v>
      </c>
      <c r="H139" t="s">
        <v>39</v>
      </c>
      <c r="I139">
        <v>1192033920</v>
      </c>
      <c r="J139" t="s">
        <v>654</v>
      </c>
    </row>
    <row r="140" spans="1:10">
      <c r="A140">
        <v>20</v>
      </c>
      <c r="B140">
        <v>480</v>
      </c>
      <c r="C140" t="s">
        <v>287</v>
      </c>
      <c r="D140" t="s">
        <v>1136</v>
      </c>
      <c r="E140">
        <v>1986</v>
      </c>
      <c r="F140" t="s">
        <v>30</v>
      </c>
      <c r="G140" t="s">
        <v>46</v>
      </c>
      <c r="H140" t="s">
        <v>59</v>
      </c>
      <c r="I140">
        <v>1186019155</v>
      </c>
      <c r="J140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759B-1FF3-451F-9D40-892DB62FECDC}">
  <sheetPr codeName="Sheet10"/>
  <dimension ref="A1:V146"/>
  <sheetViews>
    <sheetView tabSelected="1" topLeftCell="I1" workbookViewId="0">
      <selection activeCell="R7" sqref="R7"/>
    </sheetView>
  </sheetViews>
  <sheetFormatPr defaultRowHeight="15"/>
  <cols>
    <col min="1" max="1" width="4.85546875" customWidth="1"/>
    <col min="2" max="2" width="11" customWidth="1"/>
    <col min="3" max="3" width="22.85546875" bestFit="1" customWidth="1"/>
    <col min="4" max="4" width="22.85546875" customWidth="1"/>
    <col min="5" max="5" width="11" customWidth="1"/>
    <col min="6" max="6" width="15.28515625" bestFit="1" customWidth="1"/>
    <col min="7" max="7" width="11" customWidth="1"/>
    <col min="8" max="8" width="23.140625" bestFit="1" customWidth="1"/>
    <col min="9" max="9" width="11.85546875" bestFit="1" customWidth="1"/>
    <col min="10" max="10" width="25.140625" bestFit="1" customWidth="1"/>
    <col min="11" max="11" width="46" bestFit="1" customWidth="1"/>
    <col min="12" max="12" width="12.85546875" style="63" customWidth="1"/>
    <col min="13" max="22" width="12" customWidth="1"/>
  </cols>
  <sheetData>
    <row r="1" spans="1:22">
      <c r="A1" s="77" t="s">
        <v>1191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</row>
    <row r="2" spans="1:22">
      <c r="A2" s="77" t="s">
        <v>1192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</row>
    <row r="3" spans="1:22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61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>
      <c r="A4" s="75" t="s">
        <v>1</v>
      </c>
      <c r="B4" s="75" t="s">
        <v>50</v>
      </c>
      <c r="C4" s="75" t="s">
        <v>1193</v>
      </c>
      <c r="D4" s="57"/>
      <c r="E4" s="75" t="s">
        <v>1210</v>
      </c>
      <c r="F4" s="75" t="s">
        <v>1194</v>
      </c>
      <c r="G4" s="75" t="s">
        <v>1195</v>
      </c>
      <c r="H4" s="75" t="s">
        <v>1196</v>
      </c>
      <c r="I4" s="75" t="s">
        <v>1197</v>
      </c>
      <c r="J4" s="75" t="s">
        <v>1198</v>
      </c>
      <c r="K4" s="75" t="s">
        <v>1199</v>
      </c>
      <c r="L4" s="76" t="s">
        <v>1200</v>
      </c>
      <c r="M4" s="75" t="s">
        <v>1201</v>
      </c>
      <c r="N4" s="60"/>
      <c r="O4" s="60"/>
      <c r="P4" s="60"/>
      <c r="Q4" s="60"/>
      <c r="R4" s="60"/>
      <c r="S4" s="75" t="s">
        <v>1206</v>
      </c>
      <c r="T4" s="75" t="s">
        <v>1207</v>
      </c>
      <c r="U4" s="75" t="s">
        <v>1208</v>
      </c>
      <c r="V4" s="75" t="s">
        <v>1209</v>
      </c>
    </row>
    <row r="5" spans="1:22">
      <c r="A5" s="75"/>
      <c r="B5" s="75"/>
      <c r="C5" s="75"/>
      <c r="D5" s="57"/>
      <c r="E5" s="75"/>
      <c r="F5" s="75"/>
      <c r="G5" s="75"/>
      <c r="H5" s="75"/>
      <c r="I5" s="75"/>
      <c r="J5" s="75"/>
      <c r="K5" s="75"/>
      <c r="L5" s="76"/>
      <c r="M5" s="75"/>
      <c r="N5" s="57" t="s">
        <v>1202</v>
      </c>
      <c r="O5" s="57" t="s">
        <v>1203</v>
      </c>
      <c r="P5" s="57" t="s">
        <v>1204</v>
      </c>
      <c r="Q5" s="57" t="s">
        <v>10</v>
      </c>
      <c r="R5" s="57" t="s">
        <v>1205</v>
      </c>
      <c r="S5" s="75"/>
      <c r="T5" s="75"/>
      <c r="U5" s="75"/>
      <c r="V5" s="75"/>
    </row>
    <row r="6" spans="1:22">
      <c r="A6" s="58">
        <v>1</v>
      </c>
      <c r="B6" s="58" t="s">
        <v>660</v>
      </c>
      <c r="C6" s="58" t="s">
        <v>671</v>
      </c>
      <c r="D6" s="80" t="s">
        <v>1366</v>
      </c>
      <c r="E6" s="58" t="s">
        <v>672</v>
      </c>
      <c r="F6" s="58" t="s">
        <v>673</v>
      </c>
      <c r="G6" s="58" t="s">
        <v>686</v>
      </c>
      <c r="H6" s="58" t="s">
        <v>687</v>
      </c>
      <c r="I6" s="58" t="s">
        <v>688</v>
      </c>
      <c r="J6" s="58" t="s">
        <v>689</v>
      </c>
      <c r="K6" s="58" t="s">
        <v>690</v>
      </c>
      <c r="L6" s="62" t="s">
        <v>691</v>
      </c>
      <c r="M6" s="58" t="s">
        <v>692</v>
      </c>
      <c r="N6" s="58" t="s">
        <v>693</v>
      </c>
      <c r="O6" s="58" t="s">
        <v>694</v>
      </c>
      <c r="P6" s="58" t="s">
        <v>695</v>
      </c>
      <c r="Q6" s="58" t="s">
        <v>696</v>
      </c>
      <c r="R6" s="58" t="s">
        <v>697</v>
      </c>
      <c r="S6" s="58" t="s">
        <v>698</v>
      </c>
      <c r="T6" s="58" t="s">
        <v>699</v>
      </c>
      <c r="U6" s="58" t="s">
        <v>1364</v>
      </c>
      <c r="V6" s="58" t="s">
        <v>1365</v>
      </c>
    </row>
    <row r="7" spans="1:22">
      <c r="A7" s="58">
        <v>2</v>
      </c>
      <c r="B7" s="58">
        <v>341</v>
      </c>
      <c r="C7" s="58" t="s">
        <v>57</v>
      </c>
      <c r="D7" s="58" t="s">
        <v>668</v>
      </c>
      <c r="E7" s="58" t="s">
        <v>1215</v>
      </c>
      <c r="F7" s="58">
        <v>1977</v>
      </c>
      <c r="G7" s="58" t="s">
        <v>30</v>
      </c>
      <c r="H7" s="58" t="s">
        <v>58</v>
      </c>
      <c r="I7" s="58" t="s">
        <v>59</v>
      </c>
      <c r="J7" s="58">
        <v>1177043501</v>
      </c>
      <c r="K7" s="58" t="s">
        <v>315</v>
      </c>
      <c r="L7" s="62">
        <f>ROUNDUP(IF(A6&lt;=20, 18,IF(A6&lt;=40, 19,MIN(24, 19 + (A6-40)/20))),0)</f>
        <v>18</v>
      </c>
      <c r="M7" s="58"/>
      <c r="N7" s="58">
        <f>Result!W2</f>
        <v>2</v>
      </c>
      <c r="O7" s="58">
        <f>Result!Z2</f>
        <v>4</v>
      </c>
      <c r="P7" s="58">
        <f>Result!X2</f>
        <v>4</v>
      </c>
      <c r="Q7" s="58">
        <f>Result!Y2</f>
        <v>4</v>
      </c>
      <c r="R7" s="58">
        <f>Result!V2</f>
        <v>3.5</v>
      </c>
      <c r="S7" s="58"/>
      <c r="T7" s="58"/>
      <c r="U7" s="58"/>
      <c r="V7" s="58"/>
    </row>
    <row r="8" spans="1:22">
      <c r="A8" s="58">
        <v>3</v>
      </c>
      <c r="B8" s="58">
        <v>342</v>
      </c>
      <c r="C8" s="58" t="s">
        <v>60</v>
      </c>
      <c r="D8" s="58" t="s">
        <v>664</v>
      </c>
      <c r="E8" s="58" t="s">
        <v>1216</v>
      </c>
      <c r="F8" s="58">
        <v>1976</v>
      </c>
      <c r="G8" s="58" t="s">
        <v>21</v>
      </c>
      <c r="H8" s="58" t="s">
        <v>26</v>
      </c>
      <c r="I8" s="58" t="s">
        <v>61</v>
      </c>
      <c r="J8" s="58" t="s">
        <v>518</v>
      </c>
      <c r="K8" s="58" t="s">
        <v>315</v>
      </c>
      <c r="L8" s="62">
        <f>ROUNDUP(IF(A7&lt;=20, 18,IF(A7&lt;=40, 19,MIN(24, 19 + (A7-40)/20))),0)</f>
        <v>18</v>
      </c>
      <c r="M8" s="58"/>
      <c r="N8" s="58">
        <f>Result!W3</f>
        <v>2</v>
      </c>
      <c r="O8" s="58">
        <f>Result!Z3</f>
        <v>3.5</v>
      </c>
      <c r="P8" s="58">
        <f>Result!X3</f>
        <v>4</v>
      </c>
      <c r="Q8" s="58">
        <f>Result!Y3</f>
        <v>4</v>
      </c>
      <c r="R8" s="58">
        <f>Result!V3</f>
        <v>3.5</v>
      </c>
      <c r="S8" s="58"/>
      <c r="T8" s="58"/>
      <c r="U8" s="58"/>
      <c r="V8" s="58"/>
    </row>
    <row r="9" spans="1:22">
      <c r="A9" s="58">
        <v>4</v>
      </c>
      <c r="B9" s="58">
        <v>343</v>
      </c>
      <c r="C9" s="58" t="s">
        <v>685</v>
      </c>
      <c r="D9" s="58" t="s">
        <v>684</v>
      </c>
      <c r="E9" s="58" t="s">
        <v>1218</v>
      </c>
      <c r="F9" s="58">
        <v>1977</v>
      </c>
      <c r="G9" s="58" t="s">
        <v>21</v>
      </c>
      <c r="H9" s="58" t="s">
        <v>62</v>
      </c>
      <c r="I9" s="58" t="s">
        <v>61</v>
      </c>
      <c r="J9" s="58" t="s">
        <v>715</v>
      </c>
      <c r="K9" s="58" t="s">
        <v>711</v>
      </c>
      <c r="L9" s="62">
        <f>ROUNDUP(IF(A8&lt;=20, 18,IF(A8&lt;=40, 19,MIN(24, 19 + (A8-40)/20))),0)</f>
        <v>18</v>
      </c>
      <c r="M9" s="58"/>
      <c r="N9" s="58">
        <f>Result!W4</f>
        <v>3.5</v>
      </c>
      <c r="O9" s="58">
        <f>Result!Z4</f>
        <v>4</v>
      </c>
      <c r="P9" s="58">
        <f>Result!X4</f>
        <v>4.5</v>
      </c>
      <c r="Q9" s="58">
        <f>Result!Y4</f>
        <v>5</v>
      </c>
      <c r="R9" s="58">
        <f>Result!V4</f>
        <v>4.5</v>
      </c>
      <c r="S9" s="58"/>
      <c r="T9" s="58"/>
      <c r="U9" s="58"/>
      <c r="V9" s="58"/>
    </row>
    <row r="10" spans="1:22">
      <c r="A10" s="58">
        <v>5</v>
      </c>
      <c r="B10" s="58">
        <v>344</v>
      </c>
      <c r="C10" s="58" t="s">
        <v>63</v>
      </c>
      <c r="D10" s="58" t="s">
        <v>670</v>
      </c>
      <c r="E10" s="58" t="s">
        <v>1220</v>
      </c>
      <c r="F10" s="58">
        <v>1975</v>
      </c>
      <c r="G10" s="58" t="s">
        <v>21</v>
      </c>
      <c r="H10" s="58" t="s">
        <v>64</v>
      </c>
      <c r="I10" s="58" t="s">
        <v>27</v>
      </c>
      <c r="J10" s="58" t="s">
        <v>651</v>
      </c>
      <c r="K10" s="58" t="s">
        <v>315</v>
      </c>
      <c r="L10" s="62">
        <f>ROUNDUP(IF(A9&lt;=20, 18,IF(A9&lt;=40, 19,MIN(24, 19 + (A9-40)/20))),0)</f>
        <v>18</v>
      </c>
      <c r="M10" s="58"/>
      <c r="N10" s="58">
        <f>Result!W5</f>
        <v>3.5</v>
      </c>
      <c r="O10" s="58">
        <f>Result!Z5</f>
        <v>4</v>
      </c>
      <c r="P10" s="58">
        <f>Result!X5</f>
        <v>4.5</v>
      </c>
      <c r="Q10" s="58">
        <f>Result!Y5</f>
        <v>3.5</v>
      </c>
      <c r="R10" s="58">
        <f>Result!V5</f>
        <v>4</v>
      </c>
      <c r="S10" s="58"/>
      <c r="T10" s="58"/>
      <c r="U10" s="58"/>
      <c r="V10" s="58"/>
    </row>
    <row r="11" spans="1:22">
      <c r="A11" s="58">
        <v>6</v>
      </c>
      <c r="B11" s="58">
        <v>345</v>
      </c>
      <c r="C11" s="58" t="s">
        <v>65</v>
      </c>
      <c r="D11" s="58" t="s">
        <v>667</v>
      </c>
      <c r="E11" s="58" t="s">
        <v>1221</v>
      </c>
      <c r="F11" s="58">
        <v>1977</v>
      </c>
      <c r="G11" s="58" t="s">
        <v>21</v>
      </c>
      <c r="H11" s="58" t="s">
        <v>66</v>
      </c>
      <c r="I11" s="58" t="s">
        <v>27</v>
      </c>
      <c r="J11" s="58" t="s">
        <v>586</v>
      </c>
      <c r="K11" s="58" t="s">
        <v>394</v>
      </c>
      <c r="L11" s="62">
        <f>ROUNDUP(IF(A10&lt;=20, 18,IF(A10&lt;=40, 19,MIN(24, 19 + (A10-40)/20))),0)</f>
        <v>18</v>
      </c>
      <c r="M11" s="58"/>
      <c r="N11" s="58">
        <f>Result!W6</f>
        <v>2</v>
      </c>
      <c r="O11" s="58">
        <f>Result!Z6</f>
        <v>4</v>
      </c>
      <c r="P11" s="58">
        <f>Result!X6</f>
        <v>4.5</v>
      </c>
      <c r="Q11" s="58">
        <f>Result!Y6</f>
        <v>4</v>
      </c>
      <c r="R11" s="58">
        <f>Result!V6</f>
        <v>3.5</v>
      </c>
      <c r="S11" s="58"/>
      <c r="T11" s="58"/>
      <c r="U11" s="58"/>
      <c r="V11" s="58"/>
    </row>
    <row r="12" spans="1:22">
      <c r="A12" s="58">
        <v>7</v>
      </c>
      <c r="B12" s="58">
        <v>4</v>
      </c>
      <c r="C12" s="58" t="s">
        <v>67</v>
      </c>
      <c r="D12" s="58" t="s">
        <v>669</v>
      </c>
      <c r="E12" s="58" t="s">
        <v>1223</v>
      </c>
      <c r="F12" s="58">
        <v>1983</v>
      </c>
      <c r="G12" s="58" t="s">
        <v>19</v>
      </c>
      <c r="H12" s="58" t="s">
        <v>68</v>
      </c>
      <c r="I12" s="58" t="s">
        <v>20</v>
      </c>
      <c r="J12" s="58" t="s">
        <v>1211</v>
      </c>
      <c r="K12" s="58" t="s">
        <v>377</v>
      </c>
      <c r="L12" s="62">
        <f>ROUNDUP(IF(A11&lt;=20, 18,IF(A11&lt;=40, 19,MIN(24, 19 + (A11-40)/20))),0)</f>
        <v>18</v>
      </c>
      <c r="M12" s="58"/>
      <c r="N12" s="58">
        <f>Result!W7</f>
        <v>3</v>
      </c>
      <c r="O12" s="58">
        <f>Result!Z7</f>
        <v>4.5</v>
      </c>
      <c r="P12" s="58">
        <f>Result!X7</f>
        <v>5.5</v>
      </c>
      <c r="Q12" s="58">
        <f>Result!Y7</f>
        <v>5.5</v>
      </c>
      <c r="R12" s="58">
        <f>Result!V7</f>
        <v>4.5</v>
      </c>
      <c r="S12" s="58"/>
      <c r="T12" s="58"/>
      <c r="U12" s="58"/>
      <c r="V12" s="58"/>
    </row>
    <row r="13" spans="1:22">
      <c r="A13" s="58">
        <v>8</v>
      </c>
      <c r="B13" s="58">
        <v>347</v>
      </c>
      <c r="C13" s="58" t="s">
        <v>69</v>
      </c>
      <c r="D13" s="58" t="s">
        <v>661</v>
      </c>
      <c r="E13" s="58" t="s">
        <v>1225</v>
      </c>
      <c r="F13" s="58">
        <v>1975</v>
      </c>
      <c r="G13" s="58" t="s">
        <v>21</v>
      </c>
      <c r="H13" s="58" t="s">
        <v>70</v>
      </c>
      <c r="I13" s="58" t="s">
        <v>71</v>
      </c>
      <c r="J13" s="58" t="s">
        <v>405</v>
      </c>
      <c r="K13" s="58" t="s">
        <v>315</v>
      </c>
      <c r="L13" s="62">
        <f>ROUNDUP(IF(A12&lt;=20, 18,IF(A12&lt;=40, 19,MIN(24, 19 + (A12-40)/20))),0)</f>
        <v>18</v>
      </c>
      <c r="M13" s="58"/>
      <c r="N13" s="58">
        <f>Result!W8</f>
        <v>3.5</v>
      </c>
      <c r="O13" s="58">
        <f>Result!Z8</f>
        <v>3.5</v>
      </c>
      <c r="P13" s="58">
        <f>Result!X8</f>
        <v>4.5</v>
      </c>
      <c r="Q13" s="58">
        <f>Result!Y8</f>
        <v>5</v>
      </c>
      <c r="R13" s="58">
        <f>Result!V8</f>
        <v>4</v>
      </c>
      <c r="S13" s="58"/>
      <c r="T13" s="58"/>
      <c r="U13" s="58"/>
      <c r="V13" s="58"/>
    </row>
    <row r="14" spans="1:22">
      <c r="A14" s="58">
        <v>9</v>
      </c>
      <c r="B14" s="58">
        <v>348</v>
      </c>
      <c r="C14" s="58" t="s">
        <v>72</v>
      </c>
      <c r="D14" s="58" t="s">
        <v>662</v>
      </c>
      <c r="E14" s="58" t="s">
        <v>1226</v>
      </c>
      <c r="F14" s="58">
        <v>1977</v>
      </c>
      <c r="G14" s="58" t="s">
        <v>19</v>
      </c>
      <c r="H14" s="58" t="s">
        <v>73</v>
      </c>
      <c r="I14" s="58" t="s">
        <v>71</v>
      </c>
      <c r="J14" s="58" t="s">
        <v>411</v>
      </c>
      <c r="K14" s="58" t="s">
        <v>377</v>
      </c>
      <c r="L14" s="62">
        <f>ROUNDUP(IF(A13&lt;=20, 18,IF(A13&lt;=40, 19,MIN(24, 19 + (A13-40)/20))),0)</f>
        <v>18</v>
      </c>
      <c r="M14" s="58"/>
      <c r="N14" s="58">
        <f>Result!W9</f>
        <v>4</v>
      </c>
      <c r="O14" s="58">
        <f>Result!Z9</f>
        <v>4</v>
      </c>
      <c r="P14" s="58">
        <f>Result!X9</f>
        <v>5</v>
      </c>
      <c r="Q14" s="58">
        <f>Result!Y9</f>
        <v>6</v>
      </c>
      <c r="R14" s="58">
        <f>Result!V9</f>
        <v>5</v>
      </c>
      <c r="S14" s="58"/>
      <c r="T14" s="58"/>
      <c r="U14" s="58"/>
      <c r="V14" s="58"/>
    </row>
    <row r="15" spans="1:22">
      <c r="A15" s="58">
        <v>10</v>
      </c>
      <c r="B15" s="58">
        <v>349</v>
      </c>
      <c r="C15" s="58" t="s">
        <v>74</v>
      </c>
      <c r="D15" s="58" t="s">
        <v>665</v>
      </c>
      <c r="E15" s="58" t="s">
        <v>1227</v>
      </c>
      <c r="F15" s="58">
        <v>1975</v>
      </c>
      <c r="G15" s="58" t="s">
        <v>21</v>
      </c>
      <c r="H15" s="58" t="s">
        <v>75</v>
      </c>
      <c r="I15" s="58" t="s">
        <v>76</v>
      </c>
      <c r="J15" s="58" t="s">
        <v>537</v>
      </c>
      <c r="K15" s="58" t="s">
        <v>315</v>
      </c>
      <c r="L15" s="62">
        <f>ROUNDUP(IF(A14&lt;=20, 18,IF(A14&lt;=40, 19,MIN(24, 19 + (A14-40)/20))),0)</f>
        <v>18</v>
      </c>
      <c r="M15" s="58"/>
      <c r="N15" s="58">
        <f>Result!W10</f>
        <v>3.5</v>
      </c>
      <c r="O15" s="58">
        <f>Result!Z10</f>
        <v>4.5</v>
      </c>
      <c r="P15" s="58">
        <f>Result!X10</f>
        <v>4</v>
      </c>
      <c r="Q15" s="58">
        <f>Result!Y10</f>
        <v>6</v>
      </c>
      <c r="R15" s="58">
        <f>Result!V10</f>
        <v>4.5</v>
      </c>
      <c r="S15" s="58"/>
      <c r="T15" s="58"/>
      <c r="U15" s="58"/>
      <c r="V15" s="58"/>
    </row>
    <row r="16" spans="1:22">
      <c r="A16" s="58">
        <v>11</v>
      </c>
      <c r="B16" s="58">
        <v>350</v>
      </c>
      <c r="C16" s="58" t="s">
        <v>77</v>
      </c>
      <c r="D16" s="58" t="s">
        <v>663</v>
      </c>
      <c r="E16" s="58" t="s">
        <v>1228</v>
      </c>
      <c r="F16" s="58">
        <v>1976</v>
      </c>
      <c r="G16" s="58" t="s">
        <v>21</v>
      </c>
      <c r="H16" s="58" t="s">
        <v>78</v>
      </c>
      <c r="I16" s="58" t="s">
        <v>76</v>
      </c>
      <c r="J16" s="58" t="s">
        <v>471</v>
      </c>
      <c r="K16" s="58" t="s">
        <v>394</v>
      </c>
      <c r="L16" s="62">
        <f>ROUNDUP(IF(A15&lt;=20, 18,IF(A15&lt;=40, 19,MIN(24, 19 + (A15-40)/20))),0)</f>
        <v>18</v>
      </c>
      <c r="M16" s="58"/>
      <c r="N16" s="58">
        <f>Result!W11</f>
        <v>2</v>
      </c>
      <c r="O16" s="58">
        <f>Result!Z11</f>
        <v>5</v>
      </c>
      <c r="P16" s="58">
        <f>Result!X11</f>
        <v>5</v>
      </c>
      <c r="Q16" s="58">
        <f>Result!Y11</f>
        <v>6</v>
      </c>
      <c r="R16" s="58">
        <f>Result!V11</f>
        <v>4.5</v>
      </c>
      <c r="S16" s="58"/>
      <c r="T16" s="58"/>
      <c r="U16" s="58"/>
      <c r="V16" s="58"/>
    </row>
    <row r="17" spans="1:22">
      <c r="A17" s="58">
        <v>12</v>
      </c>
      <c r="B17" s="58">
        <v>351</v>
      </c>
      <c r="C17" s="58" t="s">
        <v>79</v>
      </c>
      <c r="D17" s="58" t="s">
        <v>678</v>
      </c>
      <c r="E17" s="58" t="s">
        <v>1217</v>
      </c>
      <c r="F17" s="58">
        <v>1975</v>
      </c>
      <c r="G17" s="58" t="s">
        <v>21</v>
      </c>
      <c r="H17" s="58" t="s">
        <v>80</v>
      </c>
      <c r="I17" s="58" t="s">
        <v>81</v>
      </c>
      <c r="J17" s="58">
        <v>0</v>
      </c>
      <c r="K17" s="58">
        <v>0</v>
      </c>
      <c r="L17" s="62">
        <f>ROUNDUP(IF(A16&lt;=20, 18,IF(A16&lt;=40, 19,MIN(24, 19 + (A16-40)/20))),0)</f>
        <v>18</v>
      </c>
      <c r="M17" s="58"/>
      <c r="N17" s="58">
        <f>Result!W12</f>
        <v>3</v>
      </c>
      <c r="O17" s="58">
        <f>Result!Z12</f>
        <v>4.5</v>
      </c>
      <c r="P17" s="58">
        <f>Result!X12</f>
        <v>4.5</v>
      </c>
      <c r="Q17" s="58">
        <f>Result!Y12</f>
        <v>5.5</v>
      </c>
      <c r="R17" s="58">
        <f>Result!V12</f>
        <v>4.5</v>
      </c>
      <c r="S17" s="58"/>
      <c r="T17" s="58"/>
      <c r="U17" s="58"/>
      <c r="V17" s="58"/>
    </row>
    <row r="18" spans="1:22">
      <c r="A18" s="58">
        <v>13</v>
      </c>
      <c r="B18" s="58">
        <v>352</v>
      </c>
      <c r="C18" s="58" t="s">
        <v>82</v>
      </c>
      <c r="D18" s="58" t="s">
        <v>683</v>
      </c>
      <c r="E18" s="58" t="s">
        <v>1229</v>
      </c>
      <c r="F18" s="58">
        <v>1984</v>
      </c>
      <c r="G18" s="58" t="s">
        <v>21</v>
      </c>
      <c r="H18" s="58" t="s">
        <v>83</v>
      </c>
      <c r="I18" s="58" t="s">
        <v>81</v>
      </c>
      <c r="J18" s="58">
        <v>1184022018</v>
      </c>
      <c r="K18" s="58" t="s">
        <v>394</v>
      </c>
      <c r="L18" s="62">
        <f>ROUNDUP(IF(A17&lt;=20, 18,IF(A17&lt;=40, 19,MIN(24, 19 + (A17-40)/20))),0)</f>
        <v>18</v>
      </c>
      <c r="M18" s="58"/>
      <c r="N18" s="58">
        <f>Result!W13</f>
        <v>3</v>
      </c>
      <c r="O18" s="58">
        <f>Result!Z13</f>
        <v>4.5</v>
      </c>
      <c r="P18" s="58">
        <f>Result!X13</f>
        <v>4.5</v>
      </c>
      <c r="Q18" s="58">
        <f>Result!Y13</f>
        <v>5.5</v>
      </c>
      <c r="R18" s="58">
        <f>Result!V13</f>
        <v>4.5</v>
      </c>
      <c r="S18" s="58"/>
      <c r="T18" s="58"/>
      <c r="U18" s="58"/>
      <c r="V18" s="58"/>
    </row>
    <row r="19" spans="1:22">
      <c r="A19" s="58">
        <v>14</v>
      </c>
      <c r="B19" s="58">
        <v>353</v>
      </c>
      <c r="C19" s="58" t="s">
        <v>84</v>
      </c>
      <c r="D19" s="58" t="s">
        <v>680</v>
      </c>
      <c r="E19" s="58" t="s">
        <v>1230</v>
      </c>
      <c r="F19" s="58">
        <v>1976</v>
      </c>
      <c r="G19" s="58" t="s">
        <v>21</v>
      </c>
      <c r="H19" s="58" t="s">
        <v>83</v>
      </c>
      <c r="I19" s="58" t="s">
        <v>81</v>
      </c>
      <c r="J19" s="58" t="s">
        <v>1010</v>
      </c>
      <c r="K19" s="58" t="s">
        <v>394</v>
      </c>
      <c r="L19" s="62">
        <f>ROUNDUP(IF(A18&lt;=20, 18,IF(A18&lt;=40, 19,MIN(24, 19 + (A18-40)/20))),0)</f>
        <v>18</v>
      </c>
      <c r="M19" s="58"/>
      <c r="N19" s="58">
        <f>Result!W14</f>
        <v>4</v>
      </c>
      <c r="O19" s="58">
        <f>Result!Z14</f>
        <v>4</v>
      </c>
      <c r="P19" s="58">
        <f>Result!X14</f>
        <v>3.5</v>
      </c>
      <c r="Q19" s="58">
        <f>Result!Y14</f>
        <v>5</v>
      </c>
      <c r="R19" s="58">
        <f>Result!V14</f>
        <v>4</v>
      </c>
      <c r="S19" s="58"/>
      <c r="T19" s="58"/>
      <c r="U19" s="58"/>
      <c r="V19" s="58"/>
    </row>
    <row r="20" spans="1:22">
      <c r="A20" s="58">
        <v>15</v>
      </c>
      <c r="B20" s="58">
        <v>354</v>
      </c>
      <c r="C20" s="58" t="s">
        <v>85</v>
      </c>
      <c r="D20" s="58" t="s">
        <v>675</v>
      </c>
      <c r="E20" s="58" t="s">
        <v>1231</v>
      </c>
      <c r="F20" s="58">
        <v>1974</v>
      </c>
      <c r="G20" s="58" t="s">
        <v>21</v>
      </c>
      <c r="H20" s="58" t="s">
        <v>86</v>
      </c>
      <c r="I20" s="58" t="s">
        <v>81</v>
      </c>
      <c r="J20" s="58">
        <v>1074022571</v>
      </c>
      <c r="K20" s="58" t="s">
        <v>315</v>
      </c>
      <c r="L20" s="62">
        <f>ROUNDUP(IF(A19&lt;=20, 18,IF(A19&lt;=40, 19,MIN(24, 19 + (A19-40)/20))),0)</f>
        <v>18</v>
      </c>
      <c r="M20" s="58"/>
      <c r="N20" s="58">
        <f>Result!W15</f>
        <v>3.5</v>
      </c>
      <c r="O20" s="58">
        <f>Result!Z15</f>
        <v>5</v>
      </c>
      <c r="P20" s="58">
        <f>Result!X15</f>
        <v>4.5</v>
      </c>
      <c r="Q20" s="58">
        <f>Result!Y15</f>
        <v>5.5</v>
      </c>
      <c r="R20" s="58">
        <f>Result!V15</f>
        <v>4.5</v>
      </c>
      <c r="S20" s="58"/>
      <c r="T20" s="58"/>
      <c r="U20" s="58"/>
      <c r="V20" s="58"/>
    </row>
    <row r="21" spans="1:22">
      <c r="A21" s="58">
        <v>16</v>
      </c>
      <c r="B21" s="58">
        <v>355</v>
      </c>
      <c r="C21" s="58" t="s">
        <v>87</v>
      </c>
      <c r="D21" s="58" t="s">
        <v>676</v>
      </c>
      <c r="E21" s="58" t="s">
        <v>1232</v>
      </c>
      <c r="F21" s="58">
        <v>1984</v>
      </c>
      <c r="G21" s="58" t="s">
        <v>19</v>
      </c>
      <c r="H21" s="58" t="s">
        <v>88</v>
      </c>
      <c r="I21" s="58" t="s">
        <v>20</v>
      </c>
      <c r="J21" s="58">
        <v>1184030240</v>
      </c>
      <c r="K21" s="58" t="s">
        <v>654</v>
      </c>
      <c r="L21" s="62">
        <f>ROUNDUP(IF(A20&lt;=20, 18,IF(A20&lt;=40, 19,MIN(24, 19 + (A20-40)/20))),0)</f>
        <v>18</v>
      </c>
      <c r="M21" s="58"/>
      <c r="N21" s="58">
        <f>Result!W16</f>
        <v>0</v>
      </c>
      <c r="O21" s="58">
        <f>Result!Z16</f>
        <v>0</v>
      </c>
      <c r="P21" s="58">
        <f>Result!X16</f>
        <v>0</v>
      </c>
      <c r="Q21" s="58">
        <f>Result!Y16</f>
        <v>0</v>
      </c>
      <c r="R21" s="58">
        <f>Result!V16</f>
        <v>0</v>
      </c>
      <c r="S21" s="58"/>
      <c r="T21" s="58"/>
      <c r="U21" s="58"/>
      <c r="V21" s="58"/>
    </row>
    <row r="22" spans="1:22">
      <c r="A22" s="58">
        <v>17</v>
      </c>
      <c r="B22" s="58">
        <v>356</v>
      </c>
      <c r="C22" s="58" t="s">
        <v>89</v>
      </c>
      <c r="D22" s="58" t="s">
        <v>682</v>
      </c>
      <c r="E22" s="58" t="s">
        <v>1234</v>
      </c>
      <c r="F22" s="58">
        <v>1980</v>
      </c>
      <c r="G22" s="58" t="s">
        <v>19</v>
      </c>
      <c r="H22" s="58" t="s">
        <v>90</v>
      </c>
      <c r="I22" s="58" t="s">
        <v>91</v>
      </c>
      <c r="J22" s="58">
        <v>1180014694</v>
      </c>
      <c r="K22" s="58" t="s">
        <v>654</v>
      </c>
      <c r="L22" s="62">
        <f>ROUNDUP(IF(A21&lt;=20, 18,IF(A21&lt;=40, 19,MIN(24, 19 + (A21-40)/20))),0)</f>
        <v>18</v>
      </c>
      <c r="M22" s="58"/>
      <c r="N22" s="58">
        <f>Result!W17</f>
        <v>2</v>
      </c>
      <c r="O22" s="58">
        <f>Result!Z17</f>
        <v>4</v>
      </c>
      <c r="P22" s="58">
        <f>Result!X17</f>
        <v>5</v>
      </c>
      <c r="Q22" s="58">
        <f>Result!Y17</f>
        <v>5.5</v>
      </c>
      <c r="R22" s="58">
        <f>Result!V17</f>
        <v>4</v>
      </c>
      <c r="S22" s="58"/>
      <c r="T22" s="58"/>
      <c r="U22" s="58"/>
      <c r="V22" s="58"/>
    </row>
    <row r="23" spans="1:22">
      <c r="A23" s="58">
        <v>18</v>
      </c>
      <c r="B23" s="58">
        <v>357</v>
      </c>
      <c r="C23" s="58" t="s">
        <v>92</v>
      </c>
      <c r="D23" s="58" t="s">
        <v>681</v>
      </c>
      <c r="E23" s="58" t="s">
        <v>1235</v>
      </c>
      <c r="F23" s="58">
        <v>1980</v>
      </c>
      <c r="G23" s="58" t="s">
        <v>19</v>
      </c>
      <c r="H23" s="58" t="s">
        <v>93</v>
      </c>
      <c r="I23" s="58" t="s">
        <v>94</v>
      </c>
      <c r="J23" s="58">
        <v>1180005662</v>
      </c>
      <c r="K23" s="58" t="s">
        <v>654</v>
      </c>
      <c r="L23" s="62">
        <f>ROUNDUP(IF(A22&lt;=20, 18,IF(A22&lt;=40, 19,MIN(24, 19 + (A22-40)/20))),0)</f>
        <v>18</v>
      </c>
      <c r="M23" s="58"/>
      <c r="N23" s="58">
        <f>Result!W18</f>
        <v>0</v>
      </c>
      <c r="O23" s="58">
        <f>Result!Z18</f>
        <v>0</v>
      </c>
      <c r="P23" s="58">
        <f>Result!X18</f>
        <v>0</v>
      </c>
      <c r="Q23" s="58">
        <f>Result!Y18</f>
        <v>0</v>
      </c>
      <c r="R23" s="58">
        <f>Result!V18</f>
        <v>0</v>
      </c>
      <c r="S23" s="58"/>
      <c r="T23" s="58"/>
      <c r="U23" s="58"/>
      <c r="V23" s="58"/>
    </row>
    <row r="24" spans="1:22">
      <c r="A24" s="58">
        <v>19</v>
      </c>
      <c r="B24" s="58">
        <v>358</v>
      </c>
      <c r="C24" s="58" t="s">
        <v>95</v>
      </c>
      <c r="D24" s="58" t="s">
        <v>677</v>
      </c>
      <c r="E24" s="58" t="s">
        <v>1236</v>
      </c>
      <c r="F24" s="58">
        <v>1977</v>
      </c>
      <c r="G24" s="58" t="s">
        <v>19</v>
      </c>
      <c r="H24" s="58" t="s">
        <v>96</v>
      </c>
      <c r="I24" s="58" t="s">
        <v>97</v>
      </c>
      <c r="J24" s="58" t="s">
        <v>996</v>
      </c>
      <c r="K24" s="58" t="s">
        <v>654</v>
      </c>
      <c r="L24" s="62">
        <f>ROUNDUP(IF(A23&lt;=20, 18,IF(A23&lt;=40, 19,MIN(24, 19 + (A23-40)/20))),0)</f>
        <v>18</v>
      </c>
      <c r="M24" s="58"/>
      <c r="N24" s="58">
        <f>Result!W19</f>
        <v>0</v>
      </c>
      <c r="O24" s="58">
        <f>Result!Z19</f>
        <v>0</v>
      </c>
      <c r="P24" s="58">
        <f>Result!X19</f>
        <v>0</v>
      </c>
      <c r="Q24" s="58">
        <f>Result!Y19</f>
        <v>0</v>
      </c>
      <c r="R24" s="58">
        <f>Result!V19</f>
        <v>0</v>
      </c>
      <c r="S24" s="58"/>
      <c r="T24" s="58"/>
      <c r="U24" s="58"/>
      <c r="V24" s="58"/>
    </row>
    <row r="25" spans="1:22">
      <c r="A25" s="58">
        <v>20</v>
      </c>
      <c r="B25" s="58">
        <v>359</v>
      </c>
      <c r="C25" s="58" t="s">
        <v>98</v>
      </c>
      <c r="D25" s="58" t="s">
        <v>679</v>
      </c>
      <c r="E25" s="58" t="s">
        <v>1237</v>
      </c>
      <c r="F25" s="58">
        <v>1977</v>
      </c>
      <c r="G25" s="58" t="s">
        <v>21</v>
      </c>
      <c r="H25" s="58" t="s">
        <v>99</v>
      </c>
      <c r="I25" s="58" t="s">
        <v>100</v>
      </c>
      <c r="J25" s="58">
        <v>27177000344</v>
      </c>
      <c r="K25" s="58" t="s">
        <v>315</v>
      </c>
      <c r="L25" s="62">
        <f>ROUNDUP(IF(A24&lt;=20, 18,IF(A24&lt;=40, 19,MIN(24, 19 + (A24-40)/20))),0)</f>
        <v>18</v>
      </c>
      <c r="M25" s="58"/>
      <c r="N25" s="58">
        <f>Result!W20</f>
        <v>3.5</v>
      </c>
      <c r="O25" s="58">
        <f>Result!Z20</f>
        <v>4</v>
      </c>
      <c r="P25" s="58">
        <f>Result!X20</f>
        <v>5</v>
      </c>
      <c r="Q25" s="58">
        <f>Result!Y20</f>
        <v>5.5</v>
      </c>
      <c r="R25" s="58">
        <f>Result!V20</f>
        <v>4.5</v>
      </c>
      <c r="S25" s="58"/>
      <c r="T25" s="58"/>
      <c r="U25" s="58"/>
      <c r="V25" s="58"/>
    </row>
    <row r="26" spans="1:22">
      <c r="A26" s="58">
        <v>21</v>
      </c>
      <c r="B26" s="58">
        <v>360</v>
      </c>
      <c r="C26" s="58" t="s">
        <v>101</v>
      </c>
      <c r="D26" s="58" t="s">
        <v>674</v>
      </c>
      <c r="E26" s="58" t="s">
        <v>1238</v>
      </c>
      <c r="F26" s="58">
        <v>1976</v>
      </c>
      <c r="G26" s="58" t="s">
        <v>21</v>
      </c>
      <c r="H26" s="58" t="s">
        <v>99</v>
      </c>
      <c r="I26" s="58" t="s">
        <v>100</v>
      </c>
      <c r="J26" s="58">
        <v>1176045858</v>
      </c>
      <c r="K26" s="58" t="s">
        <v>315</v>
      </c>
      <c r="L26" s="62">
        <f>ROUNDUP(IF(A25&lt;=20, 18,IF(A25&lt;=40, 19,MIN(24, 19 + (A25-40)/20))),0)</f>
        <v>18</v>
      </c>
      <c r="M26" s="58"/>
      <c r="N26" s="58">
        <f>Result!W21</f>
        <v>0</v>
      </c>
      <c r="O26" s="58">
        <f>Result!Z21</f>
        <v>0</v>
      </c>
      <c r="P26" s="58">
        <f>Result!X21</f>
        <v>0</v>
      </c>
      <c r="Q26" s="58">
        <f>Result!Y21</f>
        <v>0</v>
      </c>
      <c r="R26" s="58">
        <f>Result!V21</f>
        <v>0</v>
      </c>
      <c r="S26" s="58"/>
      <c r="T26" s="58"/>
      <c r="U26" s="58"/>
      <c r="V26" s="58"/>
    </row>
    <row r="27" spans="1:22">
      <c r="A27" s="58">
        <v>22</v>
      </c>
      <c r="B27" s="58">
        <v>361</v>
      </c>
      <c r="C27" s="58" t="s">
        <v>102</v>
      </c>
      <c r="D27" s="58" t="s">
        <v>1094</v>
      </c>
      <c r="E27" s="58" t="s">
        <v>1239</v>
      </c>
      <c r="F27" s="58">
        <v>1976</v>
      </c>
      <c r="G27" s="58" t="s">
        <v>21</v>
      </c>
      <c r="H27" s="58" t="s">
        <v>44</v>
      </c>
      <c r="I27" s="58" t="s">
        <v>100</v>
      </c>
      <c r="J27" s="58" t="s">
        <v>560</v>
      </c>
      <c r="K27" s="58" t="s">
        <v>315</v>
      </c>
      <c r="L27" s="62">
        <f>ROUNDUP(IF(A26&lt;=20, 18,IF(A26&lt;=40, 19,MIN(24, 19 + (A26-40)/20))),0)</f>
        <v>19</v>
      </c>
      <c r="M27" s="58"/>
      <c r="N27" s="58">
        <f>Result!W22</f>
        <v>0</v>
      </c>
      <c r="O27" s="58">
        <f>Result!Z22</f>
        <v>0</v>
      </c>
      <c r="P27" s="58">
        <f>Result!X22</f>
        <v>0</v>
      </c>
      <c r="Q27" s="58">
        <f>Result!Y22</f>
        <v>0</v>
      </c>
      <c r="R27" s="58">
        <f>Result!V22</f>
        <v>0</v>
      </c>
      <c r="S27" s="58"/>
      <c r="T27" s="58"/>
      <c r="U27" s="58"/>
      <c r="V27" s="58"/>
    </row>
    <row r="28" spans="1:22">
      <c r="A28" s="58">
        <v>23</v>
      </c>
      <c r="B28" s="58">
        <v>362</v>
      </c>
      <c r="C28" s="58" t="s">
        <v>103</v>
      </c>
      <c r="D28" s="58" t="s">
        <v>1145</v>
      </c>
      <c r="E28" s="58" t="s">
        <v>1230</v>
      </c>
      <c r="F28" s="58">
        <v>1975</v>
      </c>
      <c r="G28" s="58" t="s">
        <v>21</v>
      </c>
      <c r="H28" s="58" t="s">
        <v>104</v>
      </c>
      <c r="I28" s="58" t="s">
        <v>20</v>
      </c>
      <c r="J28" s="58" t="s">
        <v>493</v>
      </c>
      <c r="K28" s="58" t="s">
        <v>327</v>
      </c>
      <c r="L28" s="62">
        <f>ROUNDUP(IF(A27&lt;=20, 18,IF(A27&lt;=40, 19,MIN(24, 19 + (A27-40)/20))),0)</f>
        <v>19</v>
      </c>
      <c r="M28" s="58"/>
      <c r="N28" s="58">
        <f>Result!W23</f>
        <v>0</v>
      </c>
      <c r="O28" s="58">
        <f>Result!Z23</f>
        <v>0</v>
      </c>
      <c r="P28" s="58">
        <f>Result!X23</f>
        <v>0</v>
      </c>
      <c r="Q28" s="58">
        <f>Result!Y23</f>
        <v>0</v>
      </c>
      <c r="R28" s="58">
        <f>Result!V23</f>
        <v>0</v>
      </c>
      <c r="S28" s="58"/>
      <c r="T28" s="58"/>
      <c r="U28" s="58"/>
      <c r="V28" s="58"/>
    </row>
    <row r="29" spans="1:22">
      <c r="A29" s="58">
        <v>24</v>
      </c>
      <c r="B29" s="58">
        <v>363</v>
      </c>
      <c r="C29" s="58" t="s">
        <v>105</v>
      </c>
      <c r="D29" s="58" t="s">
        <v>1367</v>
      </c>
      <c r="E29" s="58" t="s">
        <v>1240</v>
      </c>
      <c r="F29" s="58">
        <v>1975</v>
      </c>
      <c r="G29" s="58" t="s">
        <v>21</v>
      </c>
      <c r="H29" s="58" t="s">
        <v>48</v>
      </c>
      <c r="I29" s="58" t="s">
        <v>100</v>
      </c>
      <c r="J29" s="58" t="s">
        <v>488</v>
      </c>
      <c r="K29" s="58" t="s">
        <v>358</v>
      </c>
      <c r="L29" s="62">
        <f>ROUNDUP(IF(A28&lt;=20, 18,IF(A28&lt;=40, 19,MIN(24, 19 + (A28-40)/20))),0)</f>
        <v>19</v>
      </c>
      <c r="M29" s="58"/>
      <c r="N29" s="58">
        <f>Result!W24</f>
        <v>0</v>
      </c>
      <c r="O29" s="58">
        <f>Result!Z24</f>
        <v>0</v>
      </c>
      <c r="P29" s="58">
        <f>Result!X24</f>
        <v>0</v>
      </c>
      <c r="Q29" s="58">
        <f>Result!Y24</f>
        <v>0</v>
      </c>
      <c r="R29" s="58">
        <f>Result!V24</f>
        <v>0</v>
      </c>
      <c r="S29" s="58"/>
      <c r="T29" s="58"/>
      <c r="U29" s="58"/>
      <c r="V29" s="58"/>
    </row>
    <row r="30" spans="1:22">
      <c r="A30" s="58">
        <v>25</v>
      </c>
      <c r="B30" s="58">
        <v>364</v>
      </c>
      <c r="C30" s="58" t="s">
        <v>106</v>
      </c>
      <c r="D30" s="58" t="s">
        <v>1368</v>
      </c>
      <c r="E30" s="58" t="s">
        <v>1241</v>
      </c>
      <c r="F30" s="58">
        <v>1984</v>
      </c>
      <c r="G30" s="58" t="s">
        <v>30</v>
      </c>
      <c r="H30" s="58" t="s">
        <v>107</v>
      </c>
      <c r="I30" s="58" t="s">
        <v>100</v>
      </c>
      <c r="J30" s="58" t="s">
        <v>427</v>
      </c>
      <c r="K30" s="58" t="s">
        <v>377</v>
      </c>
      <c r="L30" s="62">
        <f>ROUNDUP(IF(A29&lt;=20, 18,IF(A29&lt;=40, 19,MIN(24, 19 + (A29-40)/20))),0)</f>
        <v>19</v>
      </c>
      <c r="M30" s="58"/>
      <c r="N30" s="58">
        <f>Result!W25</f>
        <v>0</v>
      </c>
      <c r="O30" s="58">
        <f>Result!Z25</f>
        <v>0</v>
      </c>
      <c r="P30" s="58">
        <f>Result!X25</f>
        <v>0</v>
      </c>
      <c r="Q30" s="58">
        <f>Result!Y25</f>
        <v>0</v>
      </c>
      <c r="R30" s="58">
        <f>Result!V25</f>
        <v>0</v>
      </c>
      <c r="S30" s="58"/>
      <c r="T30" s="58"/>
      <c r="U30" s="58"/>
      <c r="V30" s="58"/>
    </row>
    <row r="31" spans="1:22">
      <c r="A31" s="58">
        <v>26</v>
      </c>
      <c r="B31" s="58">
        <v>365</v>
      </c>
      <c r="C31" s="58" t="s">
        <v>108</v>
      </c>
      <c r="D31" s="58" t="s">
        <v>1074</v>
      </c>
      <c r="E31" s="58" t="s">
        <v>1242</v>
      </c>
      <c r="F31" s="58">
        <v>1976</v>
      </c>
      <c r="G31" s="58" t="s">
        <v>30</v>
      </c>
      <c r="H31" s="58" t="s">
        <v>107</v>
      </c>
      <c r="I31" s="58" t="s">
        <v>100</v>
      </c>
      <c r="J31" s="58" t="s">
        <v>380</v>
      </c>
      <c r="K31" s="58" t="s">
        <v>377</v>
      </c>
      <c r="L31" s="62">
        <f>ROUNDUP(IF(A30&lt;=20, 18,IF(A30&lt;=40, 19,MIN(24, 19 + (A30-40)/20))),0)</f>
        <v>19</v>
      </c>
      <c r="M31" s="58"/>
      <c r="N31" s="58">
        <f>Result!W26</f>
        <v>0</v>
      </c>
      <c r="O31" s="58">
        <f>Result!Z26</f>
        <v>0</v>
      </c>
      <c r="P31" s="58">
        <f>Result!X26</f>
        <v>0</v>
      </c>
      <c r="Q31" s="58">
        <f>Result!Y26</f>
        <v>0</v>
      </c>
      <c r="R31" s="58">
        <f>Result!V26</f>
        <v>0</v>
      </c>
      <c r="S31" s="58"/>
      <c r="T31" s="58"/>
      <c r="U31" s="58"/>
      <c r="V31" s="58"/>
    </row>
    <row r="32" spans="1:22">
      <c r="A32" s="58">
        <v>27</v>
      </c>
      <c r="B32" s="58">
        <v>366</v>
      </c>
      <c r="C32" s="58" t="s">
        <v>109</v>
      </c>
      <c r="D32" s="58" t="s">
        <v>1066</v>
      </c>
      <c r="E32" s="58" t="s">
        <v>1243</v>
      </c>
      <c r="F32" s="58">
        <v>1978</v>
      </c>
      <c r="G32" s="58" t="s">
        <v>30</v>
      </c>
      <c r="H32" s="58" t="s">
        <v>110</v>
      </c>
      <c r="I32" s="58" t="s">
        <v>100</v>
      </c>
      <c r="J32" s="58" t="s">
        <v>369</v>
      </c>
      <c r="K32" s="58" t="s">
        <v>315</v>
      </c>
      <c r="L32" s="62">
        <f>ROUNDUP(IF(A31&lt;=20, 18,IF(A31&lt;=40, 19,MIN(24, 19 + (A31-40)/20))),0)</f>
        <v>19</v>
      </c>
      <c r="M32" s="58"/>
      <c r="N32" s="58">
        <f>Result!W27</f>
        <v>0</v>
      </c>
      <c r="O32" s="58">
        <f>Result!Z27</f>
        <v>0</v>
      </c>
      <c r="P32" s="58">
        <f>Result!X27</f>
        <v>0</v>
      </c>
      <c r="Q32" s="58">
        <f>Result!Y27</f>
        <v>0</v>
      </c>
      <c r="R32" s="58">
        <f>Result!V27</f>
        <v>0</v>
      </c>
      <c r="S32" s="58"/>
      <c r="T32" s="58"/>
      <c r="U32" s="58"/>
      <c r="V32" s="58"/>
    </row>
    <row r="33" spans="1:22">
      <c r="A33" s="58">
        <v>28</v>
      </c>
      <c r="B33" s="58">
        <v>367</v>
      </c>
      <c r="C33" s="58" t="s">
        <v>111</v>
      </c>
      <c r="D33" s="58" t="s">
        <v>1100</v>
      </c>
      <c r="E33" s="58" t="s">
        <v>1244</v>
      </c>
      <c r="F33" s="58">
        <v>1977</v>
      </c>
      <c r="G33" s="58" t="s">
        <v>30</v>
      </c>
      <c r="H33" s="58" t="s">
        <v>110</v>
      </c>
      <c r="I33" s="58" t="s">
        <v>100</v>
      </c>
      <c r="J33" s="58" t="s">
        <v>451</v>
      </c>
      <c r="K33" s="58" t="s">
        <v>327</v>
      </c>
      <c r="L33" s="62">
        <f>ROUNDUP(IF(A32&lt;=20, 18,IF(A32&lt;=40, 19,MIN(24, 19 + (A32-40)/20))),0)</f>
        <v>19</v>
      </c>
      <c r="M33" s="58"/>
      <c r="N33" s="58">
        <f>Result!W28</f>
        <v>3.5</v>
      </c>
      <c r="O33" s="58">
        <f>Result!Z28</f>
        <v>5</v>
      </c>
      <c r="P33" s="58">
        <f>Result!X28</f>
        <v>4.5</v>
      </c>
      <c r="Q33" s="58">
        <f>Result!Y28</f>
        <v>5.5</v>
      </c>
      <c r="R33" s="58">
        <f>Result!V28</f>
        <v>4.5</v>
      </c>
      <c r="S33" s="58"/>
      <c r="T33" s="58"/>
      <c r="U33" s="58"/>
      <c r="V33" s="58"/>
    </row>
    <row r="34" spans="1:22">
      <c r="A34" s="58">
        <v>29</v>
      </c>
      <c r="B34" s="58">
        <v>368</v>
      </c>
      <c r="C34" s="58" t="s">
        <v>112</v>
      </c>
      <c r="D34" s="58" t="s">
        <v>1092</v>
      </c>
      <c r="E34" s="58" t="s">
        <v>1245</v>
      </c>
      <c r="F34" s="58">
        <v>1985</v>
      </c>
      <c r="G34" s="58" t="s">
        <v>30</v>
      </c>
      <c r="H34" s="58" t="s">
        <v>113</v>
      </c>
      <c r="I34" s="58" t="s">
        <v>114</v>
      </c>
      <c r="J34" s="58">
        <v>35185004411</v>
      </c>
      <c r="K34" s="58" t="s">
        <v>358</v>
      </c>
      <c r="L34" s="62">
        <f>ROUNDUP(IF(A33&lt;=20, 18,IF(A33&lt;=40, 19,MIN(24, 19 + (A33-40)/20))),0)</f>
        <v>19</v>
      </c>
      <c r="M34" s="58"/>
      <c r="N34" s="58">
        <f>Result!W29</f>
        <v>3.5</v>
      </c>
      <c r="O34" s="58">
        <f>Result!Z29</f>
        <v>4</v>
      </c>
      <c r="P34" s="58">
        <f>Result!X29</f>
        <v>4.5</v>
      </c>
      <c r="Q34" s="58">
        <f>Result!Y29</f>
        <v>5.5</v>
      </c>
      <c r="R34" s="58">
        <f>Result!V29</f>
        <v>4.5</v>
      </c>
      <c r="S34" s="58"/>
      <c r="T34" s="58"/>
      <c r="U34" s="58"/>
      <c r="V34" s="58"/>
    </row>
    <row r="35" spans="1:22">
      <c r="A35" s="58">
        <v>30</v>
      </c>
      <c r="B35" s="58">
        <v>369</v>
      </c>
      <c r="C35" s="58" t="s">
        <v>115</v>
      </c>
      <c r="D35" s="58" t="s">
        <v>1077</v>
      </c>
      <c r="E35" s="58" t="s">
        <v>1246</v>
      </c>
      <c r="F35" s="58">
        <v>1987</v>
      </c>
      <c r="G35" s="58" t="s">
        <v>19</v>
      </c>
      <c r="H35" s="58" t="s">
        <v>116</v>
      </c>
      <c r="I35" s="58" t="s">
        <v>61</v>
      </c>
      <c r="J35" s="58" t="s">
        <v>845</v>
      </c>
      <c r="K35" s="58" t="s">
        <v>840</v>
      </c>
      <c r="L35" s="62">
        <f>ROUNDUP(IF(A34&lt;=20, 18,IF(A34&lt;=40, 19,MIN(24, 19 + (A34-40)/20))),0)</f>
        <v>19</v>
      </c>
      <c r="M35" s="58"/>
      <c r="N35" s="58">
        <f>Result!W30</f>
        <v>0</v>
      </c>
      <c r="O35" s="58">
        <f>Result!Z30</f>
        <v>0</v>
      </c>
      <c r="P35" s="58">
        <f>Result!X30</f>
        <v>0</v>
      </c>
      <c r="Q35" s="58">
        <f>Result!Y30</f>
        <v>0</v>
      </c>
      <c r="R35" s="58">
        <f>Result!V30</f>
        <v>0</v>
      </c>
      <c r="S35" s="58"/>
      <c r="T35" s="58"/>
      <c r="U35" s="58"/>
      <c r="V35" s="58"/>
    </row>
    <row r="36" spans="1:22">
      <c r="A36" s="58">
        <v>31</v>
      </c>
      <c r="B36" s="58">
        <v>370</v>
      </c>
      <c r="C36" s="58" t="s">
        <v>117</v>
      </c>
      <c r="D36" s="58" t="s">
        <v>1147</v>
      </c>
      <c r="E36" s="58" t="s">
        <v>1216</v>
      </c>
      <c r="F36" s="58">
        <v>1983</v>
      </c>
      <c r="G36" s="58" t="s">
        <v>19</v>
      </c>
      <c r="H36" s="58" t="s">
        <v>118</v>
      </c>
      <c r="I36" s="58" t="s">
        <v>71</v>
      </c>
      <c r="J36" s="58" t="s">
        <v>895</v>
      </c>
      <c r="K36" s="58" t="s">
        <v>327</v>
      </c>
      <c r="L36" s="62">
        <f>ROUNDUP(IF(A35&lt;=20, 18,IF(A35&lt;=40, 19,MIN(24, 19 + (A35-40)/20))),0)</f>
        <v>19</v>
      </c>
      <c r="M36" s="58"/>
      <c r="N36" s="58" t="str">
        <f>Result!W31</f>
        <v>AB</v>
      </c>
      <c r="O36" s="58" t="str">
        <f>Result!Z31</f>
        <v>AB</v>
      </c>
      <c r="P36" s="58" t="str">
        <f>Result!X31</f>
        <v>AB</v>
      </c>
      <c r="Q36" s="58" t="str">
        <f>Result!Y31</f>
        <v>AB</v>
      </c>
      <c r="R36" s="58" t="str">
        <f>Result!V31</f>
        <v>AB</v>
      </c>
      <c r="S36" s="58"/>
      <c r="T36" s="58"/>
      <c r="U36" s="58"/>
      <c r="V36" s="58"/>
    </row>
    <row r="37" spans="1:22">
      <c r="A37" s="58">
        <v>32</v>
      </c>
      <c r="B37" s="58">
        <v>371</v>
      </c>
      <c r="C37" s="58" t="s">
        <v>119</v>
      </c>
      <c r="D37" s="58" t="s">
        <v>1148</v>
      </c>
      <c r="E37" s="58" t="s">
        <v>1247</v>
      </c>
      <c r="F37" s="58">
        <v>1984</v>
      </c>
      <c r="G37" s="58" t="s">
        <v>19</v>
      </c>
      <c r="H37" s="58" t="s">
        <v>120</v>
      </c>
      <c r="I37" s="58" t="s">
        <v>121</v>
      </c>
      <c r="J37" s="58" t="s">
        <v>940</v>
      </c>
      <c r="K37" s="58" t="s">
        <v>327</v>
      </c>
      <c r="L37" s="62">
        <f>ROUNDUP(IF(A36&lt;=20, 18,IF(A36&lt;=40, 19,MIN(24, 19 + (A36-40)/20))),0)</f>
        <v>19</v>
      </c>
      <c r="M37" s="58"/>
      <c r="N37" s="58">
        <f>Result!W32</f>
        <v>0</v>
      </c>
      <c r="O37" s="58">
        <f>Result!Z32</f>
        <v>0</v>
      </c>
      <c r="P37" s="58">
        <f>Result!X32</f>
        <v>0</v>
      </c>
      <c r="Q37" s="58">
        <f>Result!Y32</f>
        <v>0</v>
      </c>
      <c r="R37" s="58">
        <f>Result!V32</f>
        <v>0</v>
      </c>
      <c r="S37" s="58"/>
      <c r="T37" s="58"/>
      <c r="U37" s="58"/>
      <c r="V37" s="58"/>
    </row>
    <row r="38" spans="1:22">
      <c r="A38" s="58">
        <v>33</v>
      </c>
      <c r="B38" s="58">
        <v>372</v>
      </c>
      <c r="C38" s="58" t="s">
        <v>122</v>
      </c>
      <c r="D38" s="58" t="s">
        <v>1098</v>
      </c>
      <c r="E38" s="58" t="s">
        <v>1222</v>
      </c>
      <c r="F38" s="58">
        <v>1978</v>
      </c>
      <c r="G38" s="58" t="s">
        <v>19</v>
      </c>
      <c r="H38" s="58" t="s">
        <v>123</v>
      </c>
      <c r="I38" s="58" t="s">
        <v>71</v>
      </c>
      <c r="J38" s="58" t="s">
        <v>962</v>
      </c>
      <c r="K38" s="58" t="s">
        <v>654</v>
      </c>
      <c r="L38" s="62">
        <f>ROUNDUP(IF(A37&lt;=20, 18,IF(A37&lt;=40, 19,MIN(24, 19 + (A37-40)/20))),0)</f>
        <v>19</v>
      </c>
      <c r="M38" s="58"/>
      <c r="N38" s="58">
        <f>Result!W33</f>
        <v>0</v>
      </c>
      <c r="O38" s="58">
        <f>Result!Z33</f>
        <v>0</v>
      </c>
      <c r="P38" s="58">
        <f>Result!X33</f>
        <v>0</v>
      </c>
      <c r="Q38" s="58">
        <f>Result!Y33</f>
        <v>0</v>
      </c>
      <c r="R38" s="58">
        <f>Result!V33</f>
        <v>0</v>
      </c>
      <c r="S38" s="58"/>
      <c r="T38" s="58"/>
      <c r="U38" s="58"/>
      <c r="V38" s="58"/>
    </row>
    <row r="39" spans="1:22">
      <c r="A39" s="58">
        <v>34</v>
      </c>
      <c r="B39" s="58">
        <v>373</v>
      </c>
      <c r="C39" s="58" t="s">
        <v>124</v>
      </c>
      <c r="D39" s="58" t="s">
        <v>1059</v>
      </c>
      <c r="E39" s="58" t="s">
        <v>1248</v>
      </c>
      <c r="F39" s="58">
        <v>1985</v>
      </c>
      <c r="G39" s="58" t="s">
        <v>19</v>
      </c>
      <c r="H39" s="58" t="s">
        <v>125</v>
      </c>
      <c r="I39" s="58" t="s">
        <v>61</v>
      </c>
      <c r="J39" s="58" t="s">
        <v>1024</v>
      </c>
      <c r="K39" s="58" t="s">
        <v>327</v>
      </c>
      <c r="L39" s="62">
        <f>ROUNDUP(IF(A38&lt;=20, 18,IF(A38&lt;=40, 19,MIN(24, 19 + (A38-40)/20))),0)</f>
        <v>19</v>
      </c>
      <c r="M39" s="58"/>
      <c r="N39" s="58">
        <f>Result!W34</f>
        <v>0</v>
      </c>
      <c r="O39" s="58" t="str">
        <f>Result!Z34</f>
        <v>AB</v>
      </c>
      <c r="P39" s="58">
        <f>Result!X34</f>
        <v>0</v>
      </c>
      <c r="Q39" s="58">
        <f>Result!Y34</f>
        <v>0</v>
      </c>
      <c r="R39" s="58" t="str">
        <f>Result!V34</f>
        <v>AB</v>
      </c>
      <c r="S39" s="58"/>
      <c r="T39" s="58"/>
      <c r="U39" s="58"/>
      <c r="V39" s="58"/>
    </row>
    <row r="40" spans="1:22">
      <c r="A40" s="58">
        <v>35</v>
      </c>
      <c r="B40" s="58">
        <v>374</v>
      </c>
      <c r="C40" s="58" t="s">
        <v>126</v>
      </c>
      <c r="D40" s="58" t="s">
        <v>1096</v>
      </c>
      <c r="E40" s="58" t="s">
        <v>1236</v>
      </c>
      <c r="F40" s="58">
        <v>1981</v>
      </c>
      <c r="G40" s="58" t="s">
        <v>19</v>
      </c>
      <c r="H40" s="58" t="s">
        <v>127</v>
      </c>
      <c r="I40" s="58" t="s">
        <v>121</v>
      </c>
      <c r="J40" s="58" t="s">
        <v>1189</v>
      </c>
      <c r="K40" s="58" t="s">
        <v>377</v>
      </c>
      <c r="L40" s="62">
        <f>ROUNDUP(IF(A39&lt;=20, 18,IF(A39&lt;=40, 19,MIN(24, 19 + (A39-40)/20))),0)</f>
        <v>19</v>
      </c>
      <c r="M40" s="58"/>
      <c r="N40" s="58">
        <f>Result!W35</f>
        <v>0</v>
      </c>
      <c r="O40" s="58">
        <f>Result!Z35</f>
        <v>0</v>
      </c>
      <c r="P40" s="58">
        <f>Result!X35</f>
        <v>0</v>
      </c>
      <c r="Q40" s="58">
        <f>Result!Y35</f>
        <v>0</v>
      </c>
      <c r="R40" s="58">
        <f>Result!V35</f>
        <v>0</v>
      </c>
      <c r="S40" s="58"/>
      <c r="T40" s="58"/>
      <c r="U40" s="58"/>
      <c r="V40" s="58"/>
    </row>
    <row r="41" spans="1:22">
      <c r="A41" s="58">
        <v>36</v>
      </c>
      <c r="B41" s="58">
        <v>375</v>
      </c>
      <c r="C41" s="58" t="s">
        <v>128</v>
      </c>
      <c r="D41" s="58" t="s">
        <v>1149</v>
      </c>
      <c r="E41" s="58" t="s">
        <v>1230</v>
      </c>
      <c r="F41" s="58">
        <v>1982</v>
      </c>
      <c r="G41" s="58" t="s">
        <v>19</v>
      </c>
      <c r="H41" s="58" t="s">
        <v>129</v>
      </c>
      <c r="I41" s="58" t="s">
        <v>27</v>
      </c>
      <c r="J41" s="58">
        <v>987892839</v>
      </c>
      <c r="K41" s="58" t="s">
        <v>734</v>
      </c>
      <c r="L41" s="62">
        <f>ROUNDUP(IF(A40&lt;=20, 18,IF(A40&lt;=40, 19,MIN(24, 19 + (A40-40)/20))),0)</f>
        <v>19</v>
      </c>
      <c r="M41" s="58"/>
      <c r="N41" s="58">
        <f>Result!W36</f>
        <v>0</v>
      </c>
      <c r="O41" s="58" t="str">
        <f>Result!Z36</f>
        <v>AB</v>
      </c>
      <c r="P41" s="58">
        <f>Result!X36</f>
        <v>0</v>
      </c>
      <c r="Q41" s="58">
        <f>Result!Y36</f>
        <v>0</v>
      </c>
      <c r="R41" s="58" t="str">
        <f>Result!V36</f>
        <v>AB</v>
      </c>
      <c r="S41" s="58"/>
      <c r="T41" s="58"/>
      <c r="U41" s="58"/>
      <c r="V41" s="58"/>
    </row>
    <row r="42" spans="1:22">
      <c r="A42" s="58">
        <v>37</v>
      </c>
      <c r="B42" s="58">
        <v>376</v>
      </c>
      <c r="C42" s="58" t="s">
        <v>130</v>
      </c>
      <c r="D42" s="58" t="s">
        <v>1095</v>
      </c>
      <c r="E42" s="58" t="s">
        <v>1229</v>
      </c>
      <c r="F42" s="58">
        <v>1978</v>
      </c>
      <c r="G42" s="58" t="s">
        <v>21</v>
      </c>
      <c r="H42" s="58" t="s">
        <v>64</v>
      </c>
      <c r="I42" s="58" t="s">
        <v>27</v>
      </c>
      <c r="J42" s="58">
        <v>1178029862</v>
      </c>
      <c r="K42" s="58" t="s">
        <v>315</v>
      </c>
      <c r="L42" s="62">
        <f>ROUNDUP(IF(A41&lt;=20, 18,IF(A41&lt;=40, 19,MIN(24, 19 + (A41-40)/20))),0)</f>
        <v>19</v>
      </c>
      <c r="M42" s="58"/>
      <c r="N42" s="58">
        <f>Result!W37</f>
        <v>4</v>
      </c>
      <c r="O42" s="58">
        <f>Result!Z37</f>
        <v>5.5</v>
      </c>
      <c r="P42" s="58">
        <f>Result!X37</f>
        <v>5.5</v>
      </c>
      <c r="Q42" s="58">
        <f>Result!Y37</f>
        <v>5.5</v>
      </c>
      <c r="R42" s="58">
        <f>Result!V37</f>
        <v>5</v>
      </c>
      <c r="S42" s="58"/>
      <c r="T42" s="58"/>
      <c r="U42" s="58"/>
      <c r="V42" s="58"/>
    </row>
    <row r="43" spans="1:22">
      <c r="A43" s="58">
        <v>38</v>
      </c>
      <c r="B43" s="58">
        <v>377</v>
      </c>
      <c r="C43" s="58" t="s">
        <v>132</v>
      </c>
      <c r="D43" s="58" t="s">
        <v>1097</v>
      </c>
      <c r="E43" s="58" t="s">
        <v>1249</v>
      </c>
      <c r="F43" s="58">
        <v>1978</v>
      </c>
      <c r="G43" s="58" t="s">
        <v>21</v>
      </c>
      <c r="H43" s="58" t="s">
        <v>133</v>
      </c>
      <c r="I43" s="58" t="s">
        <v>27</v>
      </c>
      <c r="J43" s="58">
        <v>1178010346</v>
      </c>
      <c r="K43" s="58" t="s">
        <v>315</v>
      </c>
      <c r="L43" s="62">
        <f>ROUNDUP(IF(A42&lt;=20, 18,IF(A42&lt;=40, 19,MIN(24, 19 + (A42-40)/20))),0)</f>
        <v>19</v>
      </c>
      <c r="M43" s="58"/>
      <c r="N43" s="58">
        <f>Result!W38</f>
        <v>4</v>
      </c>
      <c r="O43" s="58">
        <f>Result!Z38</f>
        <v>4</v>
      </c>
      <c r="P43" s="58">
        <f>Result!X38</f>
        <v>4.5</v>
      </c>
      <c r="Q43" s="58">
        <f>Result!Y38</f>
        <v>5.5</v>
      </c>
      <c r="R43" s="58">
        <f>Result!V38</f>
        <v>4.5</v>
      </c>
      <c r="S43" s="58"/>
      <c r="T43" s="58"/>
      <c r="U43" s="58"/>
      <c r="V43" s="58"/>
    </row>
    <row r="44" spans="1:22">
      <c r="A44" s="58">
        <v>39</v>
      </c>
      <c r="B44" s="58">
        <v>378</v>
      </c>
      <c r="C44" s="58" t="s">
        <v>134</v>
      </c>
      <c r="D44" s="58" t="s">
        <v>1150</v>
      </c>
      <c r="E44" s="58" t="s">
        <v>1246</v>
      </c>
      <c r="F44" s="58">
        <v>1982</v>
      </c>
      <c r="G44" s="58" t="s">
        <v>21</v>
      </c>
      <c r="H44" s="58" t="s">
        <v>34</v>
      </c>
      <c r="I44" s="58" t="s">
        <v>27</v>
      </c>
      <c r="J44" s="58">
        <v>26182001327</v>
      </c>
      <c r="K44" s="58" t="s">
        <v>315</v>
      </c>
      <c r="L44" s="62">
        <f>ROUNDUP(IF(A43&lt;=20, 18,IF(A43&lt;=40, 19,MIN(24, 19 + (A43-40)/20))),0)</f>
        <v>19</v>
      </c>
      <c r="M44" s="58"/>
      <c r="N44" s="58">
        <f>Result!W39</f>
        <v>4</v>
      </c>
      <c r="O44" s="58">
        <f>Result!Z39</f>
        <v>4.5</v>
      </c>
      <c r="P44" s="58">
        <f>Result!X39</f>
        <v>5.5</v>
      </c>
      <c r="Q44" s="58">
        <f>Result!Y39</f>
        <v>5.5</v>
      </c>
      <c r="R44" s="58">
        <f>Result!V39</f>
        <v>5</v>
      </c>
      <c r="S44" s="58"/>
      <c r="T44" s="58"/>
      <c r="U44" s="58"/>
      <c r="V44" s="58"/>
    </row>
    <row r="45" spans="1:22">
      <c r="A45" s="58">
        <v>40</v>
      </c>
      <c r="B45" s="58">
        <v>379</v>
      </c>
      <c r="C45" s="58" t="s">
        <v>135</v>
      </c>
      <c r="D45" s="58" t="s">
        <v>1151</v>
      </c>
      <c r="E45" s="58" t="s">
        <v>1250</v>
      </c>
      <c r="F45" s="58">
        <v>1979</v>
      </c>
      <c r="G45" s="58" t="s">
        <v>21</v>
      </c>
      <c r="H45" s="58" t="s">
        <v>34</v>
      </c>
      <c r="I45" s="58" t="s">
        <v>27</v>
      </c>
      <c r="J45" s="58">
        <v>1079050226</v>
      </c>
      <c r="K45" s="58" t="s">
        <v>315</v>
      </c>
      <c r="L45" s="62">
        <f>ROUNDUP(IF(A44&lt;=20, 18,IF(A44&lt;=40, 19,MIN(24, 19 + (A44-40)/20))),0)</f>
        <v>19</v>
      </c>
      <c r="M45" s="58"/>
      <c r="N45" s="58">
        <f>Result!W40</f>
        <v>0</v>
      </c>
      <c r="O45" s="58">
        <f>Result!Z40</f>
        <v>0</v>
      </c>
      <c r="P45" s="58">
        <f>Result!X40</f>
        <v>0</v>
      </c>
      <c r="Q45" s="58">
        <f>Result!Y40</f>
        <v>0</v>
      </c>
      <c r="R45" s="58">
        <f>Result!V40</f>
        <v>0</v>
      </c>
      <c r="S45" s="58"/>
      <c r="T45" s="58"/>
      <c r="U45" s="58"/>
      <c r="V45" s="58"/>
    </row>
    <row r="46" spans="1:22">
      <c r="A46" s="58">
        <v>41</v>
      </c>
      <c r="B46" s="58">
        <v>380</v>
      </c>
      <c r="C46" s="58" t="s">
        <v>37</v>
      </c>
      <c r="D46" s="58" t="s">
        <v>1152</v>
      </c>
      <c r="E46" s="58" t="s">
        <v>1251</v>
      </c>
      <c r="F46" s="58">
        <v>1981</v>
      </c>
      <c r="G46" s="58" t="s">
        <v>21</v>
      </c>
      <c r="H46" s="58" t="s">
        <v>34</v>
      </c>
      <c r="I46" s="58" t="s">
        <v>27</v>
      </c>
      <c r="J46" s="58">
        <v>1181043471</v>
      </c>
      <c r="K46" s="58" t="s">
        <v>315</v>
      </c>
      <c r="L46" s="62">
        <f>ROUNDUP(IF(A45&lt;=20, 18,IF(A45&lt;=40, 19,MIN(24, 19 + (A45-40)/20))),0)</f>
        <v>19</v>
      </c>
      <c r="M46" s="58"/>
      <c r="N46" s="58">
        <f>Result!W41</f>
        <v>3.5</v>
      </c>
      <c r="O46" s="58">
        <f>Result!Z41</f>
        <v>5</v>
      </c>
      <c r="P46" s="58">
        <f>Result!X41</f>
        <v>4</v>
      </c>
      <c r="Q46" s="58">
        <f>Result!Y41</f>
        <v>6</v>
      </c>
      <c r="R46" s="58">
        <f>Result!V41</f>
        <v>4.5</v>
      </c>
      <c r="S46" s="58"/>
      <c r="T46" s="58"/>
      <c r="U46" s="58"/>
      <c r="V46" s="58"/>
    </row>
    <row r="47" spans="1:22">
      <c r="A47" s="58">
        <v>42</v>
      </c>
      <c r="B47" s="58">
        <v>381</v>
      </c>
      <c r="C47" s="58" t="s">
        <v>136</v>
      </c>
      <c r="D47" s="58" t="s">
        <v>1109</v>
      </c>
      <c r="E47" s="58" t="s">
        <v>1252</v>
      </c>
      <c r="F47" s="58">
        <v>1979</v>
      </c>
      <c r="G47" s="58" t="s">
        <v>21</v>
      </c>
      <c r="H47" s="58" t="s">
        <v>26</v>
      </c>
      <c r="I47" s="58" t="s">
        <v>61</v>
      </c>
      <c r="J47" s="58" t="s">
        <v>1212</v>
      </c>
      <c r="K47" s="58" t="s">
        <v>430</v>
      </c>
      <c r="L47" s="62">
        <f>ROUNDUP(IF(A46&lt;=20, 18,IF(A46&lt;=40, 19,MIN(24, 19 + (A46-40)/20))),0)</f>
        <v>20</v>
      </c>
      <c r="M47" s="58"/>
      <c r="N47" s="58">
        <f>Result!W42</f>
        <v>0</v>
      </c>
      <c r="O47" s="58">
        <f>Result!Z42</f>
        <v>0</v>
      </c>
      <c r="P47" s="58">
        <f>Result!X42</f>
        <v>0</v>
      </c>
      <c r="Q47" s="58">
        <f>Result!Y42</f>
        <v>0</v>
      </c>
      <c r="R47" s="58">
        <f>Result!V42</f>
        <v>0</v>
      </c>
      <c r="S47" s="58"/>
      <c r="T47" s="58"/>
      <c r="U47" s="58"/>
      <c r="V47" s="58"/>
    </row>
    <row r="48" spans="1:22">
      <c r="A48" s="58">
        <v>43</v>
      </c>
      <c r="B48" s="58">
        <v>382</v>
      </c>
      <c r="C48" s="58" t="s">
        <v>137</v>
      </c>
      <c r="D48" s="58" t="s">
        <v>1154</v>
      </c>
      <c r="E48" s="58" t="s">
        <v>1230</v>
      </c>
      <c r="F48" s="58">
        <v>1983</v>
      </c>
      <c r="G48" s="58" t="s">
        <v>19</v>
      </c>
      <c r="H48" s="58" t="s">
        <v>138</v>
      </c>
      <c r="I48" s="58" t="s">
        <v>39</v>
      </c>
      <c r="J48" s="58" t="s">
        <v>460</v>
      </c>
      <c r="K48" s="58" t="s">
        <v>315</v>
      </c>
      <c r="L48" s="62">
        <f>ROUNDUP(IF(A47&lt;=20, 18,IF(A47&lt;=40, 19,MIN(24, 19 + (A47-40)/20))),0)</f>
        <v>20</v>
      </c>
      <c r="M48" s="58"/>
      <c r="N48" s="58">
        <f>Result!W43</f>
        <v>0</v>
      </c>
      <c r="O48" s="58">
        <f>Result!Z43</f>
        <v>0</v>
      </c>
      <c r="P48" s="58">
        <f>Result!X43</f>
        <v>0</v>
      </c>
      <c r="Q48" s="58">
        <f>Result!Y43</f>
        <v>0</v>
      </c>
      <c r="R48" s="58">
        <f>Result!V43</f>
        <v>0</v>
      </c>
      <c r="S48" s="58"/>
      <c r="T48" s="58"/>
      <c r="U48" s="58"/>
      <c r="V48" s="58"/>
    </row>
    <row r="49" spans="1:22">
      <c r="A49" s="58">
        <v>44</v>
      </c>
      <c r="B49" s="58">
        <v>383</v>
      </c>
      <c r="C49" s="58" t="s">
        <v>139</v>
      </c>
      <c r="D49" s="58" t="s">
        <v>1155</v>
      </c>
      <c r="E49" s="58" t="s">
        <v>1253</v>
      </c>
      <c r="F49" s="58">
        <v>1984</v>
      </c>
      <c r="G49" s="58" t="s">
        <v>21</v>
      </c>
      <c r="H49" s="58" t="s">
        <v>140</v>
      </c>
      <c r="I49" s="58" t="s">
        <v>61</v>
      </c>
      <c r="J49" s="58" t="s">
        <v>592</v>
      </c>
      <c r="K49" s="58" t="s">
        <v>315</v>
      </c>
      <c r="L49" s="62">
        <f>ROUNDUP(IF(A48&lt;=20, 18,IF(A48&lt;=40, 19,MIN(24, 19 + (A48-40)/20))),0)</f>
        <v>20</v>
      </c>
      <c r="M49" s="58"/>
      <c r="N49" s="58">
        <f>Result!W44</f>
        <v>0</v>
      </c>
      <c r="O49" s="58">
        <f>Result!Z44</f>
        <v>0</v>
      </c>
      <c r="P49" s="58">
        <f>Result!X44</f>
        <v>0</v>
      </c>
      <c r="Q49" s="58">
        <f>Result!Y44</f>
        <v>0</v>
      </c>
      <c r="R49" s="58">
        <f>Result!V44</f>
        <v>0</v>
      </c>
      <c r="S49" s="58"/>
      <c r="T49" s="58"/>
      <c r="U49" s="58"/>
      <c r="V49" s="58"/>
    </row>
    <row r="50" spans="1:22">
      <c r="A50" s="58">
        <v>45</v>
      </c>
      <c r="B50" s="58">
        <v>384</v>
      </c>
      <c r="C50" s="58" t="s">
        <v>141</v>
      </c>
      <c r="D50" s="58" t="s">
        <v>1102</v>
      </c>
      <c r="E50" s="58" t="s">
        <v>1254</v>
      </c>
      <c r="F50" s="58">
        <v>1979</v>
      </c>
      <c r="G50" s="58" t="s">
        <v>21</v>
      </c>
      <c r="H50" s="58" t="s">
        <v>70</v>
      </c>
      <c r="I50" s="58" t="s">
        <v>71</v>
      </c>
      <c r="J50" s="58" t="s">
        <v>465</v>
      </c>
      <c r="K50" s="58" t="s">
        <v>315</v>
      </c>
      <c r="L50" s="62">
        <f>ROUNDUP(IF(A49&lt;=20, 18,IF(A49&lt;=40, 19,MIN(24, 19 + (A49-40)/20))),0)</f>
        <v>20</v>
      </c>
      <c r="M50" s="58"/>
      <c r="N50" s="58">
        <f>Result!W45</f>
        <v>0</v>
      </c>
      <c r="O50" s="58">
        <f>Result!Z45</f>
        <v>0</v>
      </c>
      <c r="P50" s="58">
        <f>Result!X45</f>
        <v>0</v>
      </c>
      <c r="Q50" s="58">
        <f>Result!Y45</f>
        <v>0</v>
      </c>
      <c r="R50" s="58">
        <f>Result!V45</f>
        <v>0</v>
      </c>
      <c r="S50" s="58"/>
      <c r="T50" s="58"/>
      <c r="U50" s="58"/>
      <c r="V50" s="58"/>
    </row>
    <row r="51" spans="1:22">
      <c r="A51" s="58">
        <v>46</v>
      </c>
      <c r="B51" s="58">
        <v>385</v>
      </c>
      <c r="C51" s="58" t="s">
        <v>142</v>
      </c>
      <c r="D51" s="58" t="s">
        <v>1111</v>
      </c>
      <c r="E51" s="58" t="s">
        <v>1255</v>
      </c>
      <c r="F51" s="58">
        <v>1977</v>
      </c>
      <c r="G51" s="58" t="s">
        <v>21</v>
      </c>
      <c r="H51" s="58" t="s">
        <v>143</v>
      </c>
      <c r="I51" s="58" t="s">
        <v>121</v>
      </c>
      <c r="J51" s="58" t="s">
        <v>637</v>
      </c>
      <c r="K51" s="58" t="s">
        <v>315</v>
      </c>
      <c r="L51" s="62">
        <f>ROUNDUP(IF(A50&lt;=20, 18,IF(A50&lt;=40, 19,MIN(24, 19 + (A50-40)/20))),0)</f>
        <v>20</v>
      </c>
      <c r="M51" s="58"/>
      <c r="N51" s="58">
        <f>Result!W46</f>
        <v>4.5</v>
      </c>
      <c r="O51" s="58">
        <f>Result!Z46</f>
        <v>5.5</v>
      </c>
      <c r="P51" s="58">
        <f>Result!X46</f>
        <v>4.5</v>
      </c>
      <c r="Q51" s="58">
        <f>Result!Y46</f>
        <v>5.5</v>
      </c>
      <c r="R51" s="58">
        <f>Result!V46</f>
        <v>5</v>
      </c>
      <c r="S51" s="58"/>
      <c r="T51" s="58"/>
      <c r="U51" s="58"/>
      <c r="V51" s="58"/>
    </row>
    <row r="52" spans="1:22">
      <c r="A52" s="58">
        <v>47</v>
      </c>
      <c r="B52" s="58">
        <v>386</v>
      </c>
      <c r="C52" s="58" t="s">
        <v>144</v>
      </c>
      <c r="D52" s="58" t="s">
        <v>1065</v>
      </c>
      <c r="E52" s="58" t="s">
        <v>1256</v>
      </c>
      <c r="F52" s="58">
        <v>1996</v>
      </c>
      <c r="G52" s="58" t="s">
        <v>19</v>
      </c>
      <c r="H52" s="58" t="s">
        <v>145</v>
      </c>
      <c r="I52" s="58" t="s">
        <v>146</v>
      </c>
      <c r="J52" s="58" t="s">
        <v>614</v>
      </c>
      <c r="K52" s="58" t="s">
        <v>315</v>
      </c>
      <c r="L52" s="62">
        <f>ROUNDUP(IF(A51&lt;=20, 18,IF(A51&lt;=40, 19,MIN(24, 19 + (A51-40)/20))),0)</f>
        <v>20</v>
      </c>
      <c r="M52" s="58"/>
      <c r="N52" s="58">
        <f>Result!W47</f>
        <v>0</v>
      </c>
      <c r="O52" s="58">
        <f>Result!Z47</f>
        <v>0</v>
      </c>
      <c r="P52" s="58">
        <f>Result!X47</f>
        <v>0</v>
      </c>
      <c r="Q52" s="58">
        <f>Result!Y47</f>
        <v>0</v>
      </c>
      <c r="R52" s="58">
        <f>Result!V47</f>
        <v>0</v>
      </c>
      <c r="S52" s="58"/>
      <c r="T52" s="58"/>
      <c r="U52" s="58"/>
      <c r="V52" s="58"/>
    </row>
    <row r="53" spans="1:22">
      <c r="A53" s="58">
        <v>48</v>
      </c>
      <c r="B53" s="58">
        <v>387</v>
      </c>
      <c r="C53" s="58" t="s">
        <v>147</v>
      </c>
      <c r="D53" s="58" t="s">
        <v>1087</v>
      </c>
      <c r="E53" s="58" t="s">
        <v>1257</v>
      </c>
      <c r="F53" s="58">
        <v>1979</v>
      </c>
      <c r="G53" s="58" t="s">
        <v>30</v>
      </c>
      <c r="H53" s="58" t="s">
        <v>148</v>
      </c>
      <c r="I53" s="58" t="s">
        <v>149</v>
      </c>
      <c r="J53" s="58" t="s">
        <v>619</v>
      </c>
      <c r="K53" s="58" t="s">
        <v>327</v>
      </c>
      <c r="L53" s="62">
        <f>ROUNDUP(IF(A52&lt;=20, 18,IF(A52&lt;=40, 19,MIN(24, 19 + (A52-40)/20))),0)</f>
        <v>20</v>
      </c>
      <c r="M53" s="58"/>
      <c r="N53" s="58">
        <f>Result!W48</f>
        <v>4.5</v>
      </c>
      <c r="O53" s="58">
        <f>Result!Z48</f>
        <v>5</v>
      </c>
      <c r="P53" s="58">
        <f>Result!X48</f>
        <v>5</v>
      </c>
      <c r="Q53" s="58">
        <f>Result!Y48</f>
        <v>5.5</v>
      </c>
      <c r="R53" s="58">
        <f>Result!V48</f>
        <v>5</v>
      </c>
      <c r="S53" s="58"/>
      <c r="T53" s="58"/>
      <c r="U53" s="58"/>
      <c r="V53" s="58"/>
    </row>
    <row r="54" spans="1:22">
      <c r="A54" s="58">
        <v>49</v>
      </c>
      <c r="B54" s="58">
        <v>388</v>
      </c>
      <c r="C54" s="58" t="s">
        <v>150</v>
      </c>
      <c r="D54" s="58" t="s">
        <v>1113</v>
      </c>
      <c r="E54" s="58" t="s">
        <v>1254</v>
      </c>
      <c r="F54" s="58">
        <v>1977</v>
      </c>
      <c r="G54" s="58" t="s">
        <v>30</v>
      </c>
      <c r="H54" s="58" t="s">
        <v>151</v>
      </c>
      <c r="I54" s="58" t="s">
        <v>81</v>
      </c>
      <c r="J54" s="58" t="s">
        <v>548</v>
      </c>
      <c r="K54" s="58" t="s">
        <v>315</v>
      </c>
      <c r="L54" s="62">
        <f>ROUNDUP(IF(A53&lt;=20, 18,IF(A53&lt;=40, 19,MIN(24, 19 + (A53-40)/20))),0)</f>
        <v>20</v>
      </c>
      <c r="M54" s="58"/>
      <c r="N54" s="58">
        <f>Result!W49</f>
        <v>0</v>
      </c>
      <c r="O54" s="58">
        <f>Result!Z49</f>
        <v>0</v>
      </c>
      <c r="P54" s="58">
        <f>Result!X49</f>
        <v>0</v>
      </c>
      <c r="Q54" s="58">
        <f>Result!Y49</f>
        <v>0</v>
      </c>
      <c r="R54" s="58">
        <f>Result!V49</f>
        <v>0</v>
      </c>
      <c r="S54" s="58"/>
      <c r="T54" s="58"/>
      <c r="U54" s="58"/>
      <c r="V54" s="58"/>
    </row>
    <row r="55" spans="1:22">
      <c r="A55" s="58">
        <v>50</v>
      </c>
      <c r="B55" s="58">
        <v>389</v>
      </c>
      <c r="C55" s="58" t="s">
        <v>152</v>
      </c>
      <c r="D55" s="58" t="s">
        <v>1110</v>
      </c>
      <c r="E55" s="58" t="s">
        <v>1244</v>
      </c>
      <c r="F55" s="58">
        <v>1976</v>
      </c>
      <c r="G55" s="58" t="s">
        <v>30</v>
      </c>
      <c r="H55" s="58" t="s">
        <v>153</v>
      </c>
      <c r="I55" s="58" t="s">
        <v>76</v>
      </c>
      <c r="J55" s="58" t="s">
        <v>366</v>
      </c>
      <c r="K55" s="58" t="s">
        <v>327</v>
      </c>
      <c r="L55" s="62">
        <f>ROUNDUP(IF(A54&lt;=20, 18,IF(A54&lt;=40, 19,MIN(24, 19 + (A54-40)/20))),0)</f>
        <v>20</v>
      </c>
      <c r="M55" s="58"/>
      <c r="N55" s="58">
        <f>Result!W50</f>
        <v>3.5</v>
      </c>
      <c r="O55" s="58">
        <f>Result!Z50</f>
        <v>5</v>
      </c>
      <c r="P55" s="58">
        <f>Result!X50</f>
        <v>4.5</v>
      </c>
      <c r="Q55" s="58">
        <f>Result!Y50</f>
        <v>6</v>
      </c>
      <c r="R55" s="58">
        <f>Result!V50</f>
        <v>5</v>
      </c>
      <c r="S55" s="58"/>
      <c r="T55" s="58"/>
      <c r="U55" s="58"/>
      <c r="V55" s="58"/>
    </row>
    <row r="56" spans="1:22">
      <c r="A56" s="58">
        <v>51</v>
      </c>
      <c r="B56" s="58">
        <v>390</v>
      </c>
      <c r="C56" s="58" t="s">
        <v>154</v>
      </c>
      <c r="D56" s="58" t="s">
        <v>1156</v>
      </c>
      <c r="E56" s="58" t="s">
        <v>1259</v>
      </c>
      <c r="F56" s="58">
        <v>1975</v>
      </c>
      <c r="G56" s="58" t="s">
        <v>30</v>
      </c>
      <c r="H56" s="58" t="s">
        <v>148</v>
      </c>
      <c r="I56" s="58" t="s">
        <v>149</v>
      </c>
      <c r="J56" s="58" t="s">
        <v>724</v>
      </c>
      <c r="K56" s="58" t="s">
        <v>315</v>
      </c>
      <c r="L56" s="62">
        <f>ROUNDUP(IF(A55&lt;=20, 18,IF(A55&lt;=40, 19,MIN(24, 19 + (A55-40)/20))),0)</f>
        <v>20</v>
      </c>
      <c r="M56" s="58"/>
      <c r="N56" s="58">
        <f>Result!W51</f>
        <v>0</v>
      </c>
      <c r="O56" s="58">
        <f>Result!Z51</f>
        <v>0</v>
      </c>
      <c r="P56" s="58">
        <f>Result!X51</f>
        <v>0</v>
      </c>
      <c r="Q56" s="58">
        <f>Result!Y51</f>
        <v>0</v>
      </c>
      <c r="R56" s="58">
        <f>Result!V51</f>
        <v>0</v>
      </c>
      <c r="S56" s="58"/>
      <c r="T56" s="58"/>
      <c r="U56" s="58"/>
      <c r="V56" s="58"/>
    </row>
    <row r="57" spans="1:22">
      <c r="A57" s="58">
        <v>52</v>
      </c>
      <c r="B57" s="58">
        <v>391</v>
      </c>
      <c r="C57" s="58" t="s">
        <v>155</v>
      </c>
      <c r="D57" s="58" t="s">
        <v>1114</v>
      </c>
      <c r="E57" s="58" t="s">
        <v>1260</v>
      </c>
      <c r="F57" s="58">
        <v>1978</v>
      </c>
      <c r="G57" s="58" t="s">
        <v>21</v>
      </c>
      <c r="H57" s="58" t="s">
        <v>156</v>
      </c>
      <c r="I57" s="58" t="s">
        <v>157</v>
      </c>
      <c r="J57" s="58" t="s">
        <v>830</v>
      </c>
      <c r="K57" s="58" t="s">
        <v>394</v>
      </c>
      <c r="L57" s="62">
        <f>ROUNDUP(IF(A56&lt;=20, 18,IF(A56&lt;=40, 19,MIN(24, 19 + (A56-40)/20))),0)</f>
        <v>20</v>
      </c>
      <c r="M57" s="58"/>
      <c r="N57" s="58">
        <f>Result!W52</f>
        <v>3.5</v>
      </c>
      <c r="O57" s="58">
        <f>Result!Z52</f>
        <v>4.5</v>
      </c>
      <c r="P57" s="58">
        <f>Result!X52</f>
        <v>4</v>
      </c>
      <c r="Q57" s="58">
        <f>Result!Y52</f>
        <v>5.5</v>
      </c>
      <c r="R57" s="58">
        <f>Result!V52</f>
        <v>4.5</v>
      </c>
      <c r="S57" s="58"/>
      <c r="T57" s="58"/>
      <c r="U57" s="58"/>
      <c r="V57" s="58"/>
    </row>
    <row r="58" spans="1:22">
      <c r="A58" s="58">
        <v>53</v>
      </c>
      <c r="B58" s="58">
        <v>392</v>
      </c>
      <c r="C58" s="58" t="s">
        <v>158</v>
      </c>
      <c r="D58" s="58" t="s">
        <v>1086</v>
      </c>
      <c r="E58" s="58" t="s">
        <v>1261</v>
      </c>
      <c r="F58" s="58">
        <v>1976</v>
      </c>
      <c r="G58" s="58" t="s">
        <v>21</v>
      </c>
      <c r="H58" s="58" t="s">
        <v>156</v>
      </c>
      <c r="I58" s="58" t="s">
        <v>157</v>
      </c>
      <c r="J58" s="58" t="s">
        <v>889</v>
      </c>
      <c r="K58" s="58" t="s">
        <v>315</v>
      </c>
      <c r="L58" s="62">
        <f>ROUNDUP(IF(A57&lt;=20, 18,IF(A57&lt;=40, 19,MIN(24, 19 + (A57-40)/20))),0)</f>
        <v>20</v>
      </c>
      <c r="M58" s="58"/>
      <c r="N58" s="58">
        <f>Result!W53</f>
        <v>0</v>
      </c>
      <c r="O58" s="58">
        <f>Result!Z53</f>
        <v>0</v>
      </c>
      <c r="P58" s="58">
        <f>Result!X53</f>
        <v>0</v>
      </c>
      <c r="Q58" s="58">
        <f>Result!Y53</f>
        <v>0</v>
      </c>
      <c r="R58" s="58">
        <f>Result!V53</f>
        <v>0</v>
      </c>
      <c r="S58" s="58"/>
      <c r="T58" s="58"/>
      <c r="U58" s="58"/>
      <c r="V58" s="58"/>
    </row>
    <row r="59" spans="1:22">
      <c r="A59" s="58">
        <v>54</v>
      </c>
      <c r="B59" s="58">
        <v>393</v>
      </c>
      <c r="C59" s="58" t="s">
        <v>159</v>
      </c>
      <c r="D59" s="58" t="s">
        <v>1107</v>
      </c>
      <c r="E59" s="58" t="s">
        <v>1249</v>
      </c>
      <c r="F59" s="58">
        <v>1977</v>
      </c>
      <c r="G59" s="58" t="s">
        <v>21</v>
      </c>
      <c r="H59" s="58" t="s">
        <v>160</v>
      </c>
      <c r="I59" s="58" t="s">
        <v>76</v>
      </c>
      <c r="J59" s="58" t="s">
        <v>977</v>
      </c>
      <c r="K59" s="58" t="s">
        <v>315</v>
      </c>
      <c r="L59" s="62">
        <f>ROUNDUP(IF(A58&lt;=20, 18,IF(A58&lt;=40, 19,MIN(24, 19 + (A58-40)/20))),0)</f>
        <v>20</v>
      </c>
      <c r="M59" s="58"/>
      <c r="N59" s="58">
        <f>Result!W54</f>
        <v>0</v>
      </c>
      <c r="O59" s="58">
        <f>Result!Z54</f>
        <v>0</v>
      </c>
      <c r="P59" s="58">
        <f>Result!X54</f>
        <v>0</v>
      </c>
      <c r="Q59" s="58">
        <f>Result!Y54</f>
        <v>0</v>
      </c>
      <c r="R59" s="58">
        <f>Result!V54</f>
        <v>0</v>
      </c>
      <c r="S59" s="58"/>
      <c r="T59" s="58"/>
      <c r="U59" s="58"/>
      <c r="V59" s="58"/>
    </row>
    <row r="60" spans="1:22">
      <c r="A60" s="58">
        <v>55</v>
      </c>
      <c r="B60" s="58">
        <v>394</v>
      </c>
      <c r="C60" s="58" t="s">
        <v>161</v>
      </c>
      <c r="D60" s="58" t="s">
        <v>1106</v>
      </c>
      <c r="E60" s="58" t="s">
        <v>1262</v>
      </c>
      <c r="F60" s="58">
        <v>1975</v>
      </c>
      <c r="G60" s="58" t="s">
        <v>21</v>
      </c>
      <c r="H60" s="58" t="s">
        <v>75</v>
      </c>
      <c r="I60" s="58" t="s">
        <v>76</v>
      </c>
      <c r="J60" s="58" t="s">
        <v>1034</v>
      </c>
      <c r="K60" s="58" t="s">
        <v>315</v>
      </c>
      <c r="L60" s="62">
        <f>ROUNDUP(IF(A59&lt;=20, 18,IF(A59&lt;=40, 19,MIN(24, 19 + (A59-40)/20))),0)</f>
        <v>20</v>
      </c>
      <c r="M60" s="58"/>
      <c r="N60" s="58">
        <f>Result!W55</f>
        <v>4</v>
      </c>
      <c r="O60" s="58">
        <f>Result!Z55</f>
        <v>4</v>
      </c>
      <c r="P60" s="58">
        <f>Result!X55</f>
        <v>4.5</v>
      </c>
      <c r="Q60" s="58">
        <f>Result!Y55</f>
        <v>5.5</v>
      </c>
      <c r="R60" s="58">
        <f>Result!V55</f>
        <v>4.5</v>
      </c>
      <c r="S60" s="58"/>
      <c r="T60" s="58"/>
      <c r="U60" s="58"/>
      <c r="V60" s="58"/>
    </row>
    <row r="61" spans="1:22">
      <c r="A61" s="58">
        <v>56</v>
      </c>
      <c r="B61" s="58">
        <v>395</v>
      </c>
      <c r="C61" s="58" t="s">
        <v>162</v>
      </c>
      <c r="D61" s="58" t="s">
        <v>1108</v>
      </c>
      <c r="E61" s="58" t="s">
        <v>1246</v>
      </c>
      <c r="F61" s="58">
        <v>1975</v>
      </c>
      <c r="G61" s="58" t="s">
        <v>21</v>
      </c>
      <c r="H61" s="58" t="s">
        <v>78</v>
      </c>
      <c r="I61" s="58" t="s">
        <v>76</v>
      </c>
      <c r="J61" s="58" t="s">
        <v>1041</v>
      </c>
      <c r="K61" s="58" t="s">
        <v>327</v>
      </c>
      <c r="L61" s="62">
        <f>ROUNDUP(IF(A60&lt;=20, 18,IF(A60&lt;=40, 19,MIN(24, 19 + (A60-40)/20))),0)</f>
        <v>20</v>
      </c>
      <c r="M61" s="58"/>
      <c r="N61" s="58">
        <f>Result!W56</f>
        <v>4</v>
      </c>
      <c r="O61" s="58">
        <f>Result!Z56</f>
        <v>5</v>
      </c>
      <c r="P61" s="58">
        <f>Result!X56</f>
        <v>3.5</v>
      </c>
      <c r="Q61" s="58">
        <f>Result!Y56</f>
        <v>6</v>
      </c>
      <c r="R61" s="58">
        <f>Result!V56</f>
        <v>4.5</v>
      </c>
      <c r="S61" s="58"/>
      <c r="T61" s="58"/>
      <c r="U61" s="58"/>
      <c r="V61" s="58"/>
    </row>
    <row r="62" spans="1:22">
      <c r="A62" s="58">
        <v>57</v>
      </c>
      <c r="B62" s="58">
        <v>739</v>
      </c>
      <c r="C62" s="58" t="s">
        <v>163</v>
      </c>
      <c r="D62" s="58" t="s">
        <v>1157</v>
      </c>
      <c r="E62" s="58" t="s">
        <v>1263</v>
      </c>
      <c r="F62" s="58">
        <v>1987</v>
      </c>
      <c r="G62" s="58" t="s">
        <v>30</v>
      </c>
      <c r="H62" s="58" t="s">
        <v>31</v>
      </c>
      <c r="I62" s="58" t="s">
        <v>32</v>
      </c>
      <c r="J62" s="58">
        <v>1187041867</v>
      </c>
      <c r="K62" s="58" t="s">
        <v>327</v>
      </c>
      <c r="L62" s="62">
        <f>ROUNDUP(IF(A61&lt;=20, 18,IF(A61&lt;=40, 19,MIN(24, 19 + (A61-40)/20))),0)</f>
        <v>20</v>
      </c>
      <c r="M62" s="58"/>
      <c r="N62" s="58">
        <f>Result!W57</f>
        <v>0</v>
      </c>
      <c r="O62" s="58">
        <f>Result!Z57</f>
        <v>0</v>
      </c>
      <c r="P62" s="58">
        <f>Result!X57</f>
        <v>0</v>
      </c>
      <c r="Q62" s="58">
        <f>Result!Y57</f>
        <v>0</v>
      </c>
      <c r="R62" s="58">
        <f>Result!V57</f>
        <v>0</v>
      </c>
      <c r="S62" s="58"/>
      <c r="T62" s="58"/>
      <c r="U62" s="58"/>
      <c r="V62" s="58"/>
    </row>
    <row r="63" spans="1:22">
      <c r="A63" s="58">
        <v>58</v>
      </c>
      <c r="B63" s="58">
        <v>16</v>
      </c>
      <c r="C63" s="58" t="s">
        <v>164</v>
      </c>
      <c r="D63" s="58" t="s">
        <v>1057</v>
      </c>
      <c r="E63" s="58" t="s">
        <v>1263</v>
      </c>
      <c r="F63" s="58">
        <v>1979</v>
      </c>
      <c r="G63" s="58" t="s">
        <v>21</v>
      </c>
      <c r="H63" s="58" t="s">
        <v>165</v>
      </c>
      <c r="I63" s="58" t="s">
        <v>166</v>
      </c>
      <c r="J63" s="58">
        <v>1179000066</v>
      </c>
      <c r="K63" s="58" t="s">
        <v>394</v>
      </c>
      <c r="L63" s="62">
        <f>ROUNDUP(IF(A62&lt;=20, 18,IF(A62&lt;=40, 19,MIN(24, 19 + (A62-40)/20))),0)</f>
        <v>20</v>
      </c>
      <c r="M63" s="58"/>
      <c r="N63" s="58">
        <f>Result!W58</f>
        <v>4.5</v>
      </c>
      <c r="O63" s="58">
        <f>Result!Z58</f>
        <v>5</v>
      </c>
      <c r="P63" s="58">
        <f>Result!X58</f>
        <v>6</v>
      </c>
      <c r="Q63" s="58">
        <f>Result!Y58</f>
        <v>6</v>
      </c>
      <c r="R63" s="58">
        <f>Result!V58</f>
        <v>5.5</v>
      </c>
      <c r="S63" s="58"/>
      <c r="T63" s="58"/>
      <c r="U63" s="58"/>
      <c r="V63" s="58"/>
    </row>
    <row r="64" spans="1:22">
      <c r="A64" s="58">
        <v>59</v>
      </c>
      <c r="B64" s="58">
        <v>398</v>
      </c>
      <c r="C64" s="58" t="s">
        <v>167</v>
      </c>
      <c r="D64" s="58" t="s">
        <v>1105</v>
      </c>
      <c r="E64" s="58" t="s">
        <v>1258</v>
      </c>
      <c r="F64" s="58">
        <v>1976</v>
      </c>
      <c r="G64" s="58" t="s">
        <v>21</v>
      </c>
      <c r="H64" s="58" t="s">
        <v>168</v>
      </c>
      <c r="I64" s="58" t="s">
        <v>81</v>
      </c>
      <c r="J64" s="58">
        <v>1176033068</v>
      </c>
      <c r="K64" s="58" t="s">
        <v>315</v>
      </c>
      <c r="L64" s="62">
        <f>ROUNDUP(IF(A63&lt;=20, 18,IF(A63&lt;=40, 19,MIN(24, 19 + (A63-40)/20))),0)</f>
        <v>20</v>
      </c>
      <c r="M64" s="58"/>
      <c r="N64" s="58">
        <f>Result!W59</f>
        <v>0</v>
      </c>
      <c r="O64" s="58" t="str">
        <f>Result!Z59</f>
        <v>AB</v>
      </c>
      <c r="P64" s="58">
        <f>Result!X59</f>
        <v>0</v>
      </c>
      <c r="Q64" s="58">
        <f>Result!Y59</f>
        <v>0</v>
      </c>
      <c r="R64" s="58" t="str">
        <f>Result!V59</f>
        <v>AB</v>
      </c>
      <c r="S64" s="58"/>
      <c r="T64" s="58"/>
      <c r="U64" s="58"/>
      <c r="V64" s="58"/>
    </row>
    <row r="65" spans="1:22">
      <c r="A65" s="58">
        <v>60</v>
      </c>
      <c r="B65" s="58">
        <v>399</v>
      </c>
      <c r="C65" s="58" t="s">
        <v>169</v>
      </c>
      <c r="D65" s="58" t="s">
        <v>1158</v>
      </c>
      <c r="E65" s="58" t="s">
        <v>1222</v>
      </c>
      <c r="F65" s="58">
        <v>1975</v>
      </c>
      <c r="G65" s="58" t="s">
        <v>21</v>
      </c>
      <c r="H65" s="58" t="s">
        <v>80</v>
      </c>
      <c r="I65" s="58" t="s">
        <v>81</v>
      </c>
      <c r="J65" s="58">
        <v>1175032774</v>
      </c>
      <c r="K65" s="58" t="s">
        <v>315</v>
      </c>
      <c r="L65" s="62">
        <f>ROUNDUP(IF(A64&lt;=20, 18,IF(A64&lt;=40, 19,MIN(24, 19 + (A64-40)/20))),0)</f>
        <v>20</v>
      </c>
      <c r="M65" s="58"/>
      <c r="N65" s="58">
        <f>Result!W60</f>
        <v>0</v>
      </c>
      <c r="O65" s="58">
        <f>Result!Z60</f>
        <v>0</v>
      </c>
      <c r="P65" s="58">
        <f>Result!X60</f>
        <v>0</v>
      </c>
      <c r="Q65" s="58">
        <f>Result!Y60</f>
        <v>0</v>
      </c>
      <c r="R65" s="58">
        <f>Result!V60</f>
        <v>0</v>
      </c>
      <c r="S65" s="58"/>
      <c r="T65" s="58"/>
      <c r="U65" s="58"/>
      <c r="V65" s="58"/>
    </row>
    <row r="66" spans="1:22">
      <c r="A66" s="58">
        <v>61</v>
      </c>
      <c r="B66" s="58">
        <v>400</v>
      </c>
      <c r="C66" s="58" t="s">
        <v>170</v>
      </c>
      <c r="D66" s="58" t="s">
        <v>1369</v>
      </c>
      <c r="E66" s="58" t="s">
        <v>1223</v>
      </c>
      <c r="F66" s="58">
        <v>1978</v>
      </c>
      <c r="G66" s="58" t="s">
        <v>21</v>
      </c>
      <c r="H66" s="58" t="s">
        <v>171</v>
      </c>
      <c r="I66" s="58" t="s">
        <v>81</v>
      </c>
      <c r="J66" s="58">
        <v>1178001577</v>
      </c>
      <c r="K66" s="58" t="s">
        <v>315</v>
      </c>
      <c r="L66" s="62">
        <f>ROUNDUP(IF(A65&lt;=20, 18,IF(A65&lt;=40, 19,MIN(24, 19 + (A65-40)/20))),0)</f>
        <v>20</v>
      </c>
      <c r="M66" s="58"/>
      <c r="N66" s="58">
        <f>Result!W61</f>
        <v>0</v>
      </c>
      <c r="O66" s="58">
        <f>Result!Z61</f>
        <v>0</v>
      </c>
      <c r="P66" s="58">
        <f>Result!X61</f>
        <v>0</v>
      </c>
      <c r="Q66" s="58">
        <f>Result!Y61</f>
        <v>0</v>
      </c>
      <c r="R66" s="58">
        <f>Result!V61</f>
        <v>0</v>
      </c>
      <c r="S66" s="58"/>
      <c r="T66" s="58"/>
      <c r="U66" s="58"/>
      <c r="V66" s="58"/>
    </row>
    <row r="67" spans="1:22">
      <c r="A67" s="58">
        <v>62</v>
      </c>
      <c r="B67" s="58">
        <v>401</v>
      </c>
      <c r="C67" s="58" t="s">
        <v>172</v>
      </c>
      <c r="D67" s="58" t="s">
        <v>1117</v>
      </c>
      <c r="E67" s="58" t="s">
        <v>1238</v>
      </c>
      <c r="F67" s="58">
        <v>1975</v>
      </c>
      <c r="G67" s="58" t="s">
        <v>21</v>
      </c>
      <c r="H67" s="58" t="s">
        <v>86</v>
      </c>
      <c r="I67" s="58" t="s">
        <v>81</v>
      </c>
      <c r="J67" s="58" t="s">
        <v>386</v>
      </c>
      <c r="K67" s="58" t="s">
        <v>315</v>
      </c>
      <c r="L67" s="62">
        <f>ROUNDUP(IF(A66&lt;=20, 18,IF(A66&lt;=40, 19,MIN(24, 19 + (A66-40)/20))),0)</f>
        <v>21</v>
      </c>
      <c r="M67" s="58"/>
      <c r="N67" s="58">
        <f>Result!W62</f>
        <v>4.5</v>
      </c>
      <c r="O67" s="58">
        <f>Result!Z62</f>
        <v>4.5</v>
      </c>
      <c r="P67" s="58">
        <f>Result!X62</f>
        <v>5</v>
      </c>
      <c r="Q67" s="58">
        <f>Result!Y62</f>
        <v>5.5</v>
      </c>
      <c r="R67" s="58">
        <f>Result!V62</f>
        <v>5</v>
      </c>
      <c r="S67" s="58"/>
      <c r="T67" s="58"/>
      <c r="U67" s="58"/>
      <c r="V67" s="58"/>
    </row>
    <row r="68" spans="1:22">
      <c r="A68" s="58">
        <v>63</v>
      </c>
      <c r="B68" s="58">
        <v>402</v>
      </c>
      <c r="C68" s="58" t="s">
        <v>173</v>
      </c>
      <c r="D68" s="58" t="s">
        <v>1159</v>
      </c>
      <c r="E68" s="58" t="s">
        <v>1264</v>
      </c>
      <c r="F68" s="58">
        <v>1976</v>
      </c>
      <c r="G68" s="58" t="s">
        <v>21</v>
      </c>
      <c r="H68" s="58" t="s">
        <v>86</v>
      </c>
      <c r="I68" s="58" t="s">
        <v>174</v>
      </c>
      <c r="J68" s="58" t="s">
        <v>416</v>
      </c>
      <c r="K68" s="58" t="s">
        <v>315</v>
      </c>
      <c r="L68" s="62">
        <f>ROUNDUP(IF(A67&lt;=20, 18,IF(A67&lt;=40, 19,MIN(24, 19 + (A67-40)/20))),0)</f>
        <v>21</v>
      </c>
      <c r="M68" s="58"/>
      <c r="N68" s="58">
        <f>Result!W63</f>
        <v>0</v>
      </c>
      <c r="O68" s="58">
        <f>Result!Z63</f>
        <v>0</v>
      </c>
      <c r="P68" s="58">
        <f>Result!X63</f>
        <v>0</v>
      </c>
      <c r="Q68" s="58">
        <f>Result!Y63</f>
        <v>0</v>
      </c>
      <c r="R68" s="58">
        <f>Result!V63</f>
        <v>0</v>
      </c>
      <c r="S68" s="58"/>
      <c r="T68" s="58"/>
      <c r="U68" s="58"/>
      <c r="V68" s="58"/>
    </row>
    <row r="69" spans="1:22">
      <c r="A69" s="58">
        <v>64</v>
      </c>
      <c r="B69" s="58">
        <v>403</v>
      </c>
      <c r="C69" s="58" t="s">
        <v>175</v>
      </c>
      <c r="D69" s="58" t="s">
        <v>1370</v>
      </c>
      <c r="E69" s="58" t="s">
        <v>1265</v>
      </c>
      <c r="F69" s="58">
        <v>1994</v>
      </c>
      <c r="G69" s="58" t="s">
        <v>21</v>
      </c>
      <c r="H69" s="58" t="s">
        <v>48</v>
      </c>
      <c r="I69" s="58" t="s">
        <v>100</v>
      </c>
      <c r="J69" s="58" t="s">
        <v>609</v>
      </c>
      <c r="K69" s="58" t="s">
        <v>315</v>
      </c>
      <c r="L69" s="62">
        <f>ROUNDUP(IF(A68&lt;=20, 18,IF(A68&lt;=40, 19,MIN(24, 19 + (A68-40)/20))),0)</f>
        <v>21</v>
      </c>
      <c r="M69" s="58"/>
      <c r="N69" s="58">
        <f>Result!W64</f>
        <v>0</v>
      </c>
      <c r="O69" s="58">
        <f>Result!Z64</f>
        <v>0</v>
      </c>
      <c r="P69" s="58">
        <f>Result!X64</f>
        <v>0</v>
      </c>
      <c r="Q69" s="58">
        <f>Result!Y64</f>
        <v>0</v>
      </c>
      <c r="R69" s="58">
        <f>Result!V64</f>
        <v>0</v>
      </c>
      <c r="S69" s="58"/>
      <c r="T69" s="58"/>
      <c r="U69" s="58"/>
      <c r="V69" s="58"/>
    </row>
    <row r="70" spans="1:22">
      <c r="A70" s="58">
        <v>65</v>
      </c>
      <c r="B70" s="58">
        <v>404</v>
      </c>
      <c r="C70" s="58" t="s">
        <v>176</v>
      </c>
      <c r="D70" s="58" t="s">
        <v>1160</v>
      </c>
      <c r="E70" s="58" t="s">
        <v>1244</v>
      </c>
      <c r="F70" s="58">
        <v>1979</v>
      </c>
      <c r="G70" s="58" t="s">
        <v>21</v>
      </c>
      <c r="H70" s="58" t="s">
        <v>177</v>
      </c>
      <c r="I70" s="58" t="s">
        <v>20</v>
      </c>
      <c r="J70" s="58" t="s">
        <v>528</v>
      </c>
      <c r="K70" s="58" t="s">
        <v>394</v>
      </c>
      <c r="L70" s="62">
        <f>ROUNDUP(IF(A69&lt;=20, 18,IF(A69&lt;=40, 19,MIN(24, 19 + (A69-40)/20))),0)</f>
        <v>21</v>
      </c>
      <c r="M70" s="58"/>
      <c r="N70" s="58">
        <f>Result!W65</f>
        <v>0</v>
      </c>
      <c r="O70" s="58">
        <f>Result!Z65</f>
        <v>0</v>
      </c>
      <c r="P70" s="58">
        <f>Result!X65</f>
        <v>0</v>
      </c>
      <c r="Q70" s="58">
        <f>Result!Y65</f>
        <v>0</v>
      </c>
      <c r="R70" s="58">
        <f>Result!V65</f>
        <v>0</v>
      </c>
      <c r="S70" s="58"/>
      <c r="T70" s="58"/>
      <c r="U70" s="58"/>
      <c r="V70" s="58"/>
    </row>
    <row r="71" spans="1:22">
      <c r="A71" s="58">
        <v>66</v>
      </c>
      <c r="B71" s="58">
        <v>405</v>
      </c>
      <c r="C71" s="58" t="s">
        <v>178</v>
      </c>
      <c r="D71" s="58" t="s">
        <v>1051</v>
      </c>
      <c r="E71" s="58" t="s">
        <v>1266</v>
      </c>
      <c r="F71" s="58">
        <v>1979</v>
      </c>
      <c r="G71" s="58" t="s">
        <v>21</v>
      </c>
      <c r="H71" s="58" t="s">
        <v>179</v>
      </c>
      <c r="I71" s="58" t="s">
        <v>29</v>
      </c>
      <c r="J71" s="58" t="s">
        <v>753</v>
      </c>
      <c r="K71" s="58" t="s">
        <v>315</v>
      </c>
      <c r="L71" s="62">
        <f>ROUNDUP(IF(A70&lt;=20, 18,IF(A70&lt;=40, 19,MIN(24, 19 + (A70-40)/20))),0)</f>
        <v>21</v>
      </c>
      <c r="M71" s="58"/>
      <c r="N71" s="58">
        <f>Result!W66</f>
        <v>0</v>
      </c>
      <c r="O71" s="58">
        <f>Result!Z66</f>
        <v>0</v>
      </c>
      <c r="P71" s="58">
        <f>Result!X66</f>
        <v>0</v>
      </c>
      <c r="Q71" s="58">
        <f>Result!Y66</f>
        <v>0</v>
      </c>
      <c r="R71" s="58">
        <f>Result!V66</f>
        <v>0</v>
      </c>
      <c r="S71" s="58"/>
      <c r="T71" s="58"/>
      <c r="U71" s="58"/>
      <c r="V71" s="58"/>
    </row>
    <row r="72" spans="1:22">
      <c r="A72" s="58">
        <v>67</v>
      </c>
      <c r="B72" s="58">
        <v>406</v>
      </c>
      <c r="C72" s="58" t="s">
        <v>180</v>
      </c>
      <c r="D72" s="58" t="s">
        <v>1047</v>
      </c>
      <c r="E72" s="58" t="s">
        <v>1247</v>
      </c>
      <c r="F72" s="58">
        <v>1979</v>
      </c>
      <c r="G72" s="58" t="s">
        <v>21</v>
      </c>
      <c r="H72" s="58" t="s">
        <v>42</v>
      </c>
      <c r="I72" s="58" t="s">
        <v>97</v>
      </c>
      <c r="J72" s="58" t="s">
        <v>784</v>
      </c>
      <c r="K72" s="58" t="s">
        <v>315</v>
      </c>
      <c r="L72" s="62">
        <f>ROUNDUP(IF(A71&lt;=20, 18,IF(A71&lt;=40, 19,MIN(24, 19 + (A71-40)/20))),0)</f>
        <v>21</v>
      </c>
      <c r="M72" s="58"/>
      <c r="N72" s="58">
        <f>Result!W67</f>
        <v>0</v>
      </c>
      <c r="O72" s="58">
        <f>Result!Z67</f>
        <v>0</v>
      </c>
      <c r="P72" s="58">
        <f>Result!X67</f>
        <v>0</v>
      </c>
      <c r="Q72" s="58">
        <f>Result!Y67</f>
        <v>0</v>
      </c>
      <c r="R72" s="58">
        <f>Result!V67</f>
        <v>0</v>
      </c>
      <c r="S72" s="58"/>
      <c r="T72" s="58"/>
      <c r="U72" s="58"/>
      <c r="V72" s="58"/>
    </row>
    <row r="73" spans="1:22">
      <c r="A73" s="58">
        <v>68</v>
      </c>
      <c r="B73" s="58">
        <v>407</v>
      </c>
      <c r="C73" s="58" t="s">
        <v>181</v>
      </c>
      <c r="D73" s="58" t="s">
        <v>1064</v>
      </c>
      <c r="E73" s="58" t="s">
        <v>1253</v>
      </c>
      <c r="F73" s="58">
        <v>1978</v>
      </c>
      <c r="G73" s="58" t="s">
        <v>21</v>
      </c>
      <c r="H73" s="58" t="s">
        <v>43</v>
      </c>
      <c r="I73" s="58" t="s">
        <v>20</v>
      </c>
      <c r="J73" s="58" t="s">
        <v>796</v>
      </c>
      <c r="K73" s="58" t="s">
        <v>654</v>
      </c>
      <c r="L73" s="62">
        <f>ROUNDUP(IF(A72&lt;=20, 18,IF(A72&lt;=40, 19,MIN(24, 19 + (A72-40)/20))),0)</f>
        <v>21</v>
      </c>
      <c r="M73" s="58"/>
      <c r="N73" s="58">
        <f>Result!W68</f>
        <v>0</v>
      </c>
      <c r="O73" s="58">
        <f>Result!Z68</f>
        <v>0</v>
      </c>
      <c r="P73" s="58">
        <f>Result!X68</f>
        <v>0</v>
      </c>
      <c r="Q73" s="58">
        <f>Result!Y68</f>
        <v>0</v>
      </c>
      <c r="R73" s="58">
        <f>Result!V68</f>
        <v>0</v>
      </c>
      <c r="S73" s="58"/>
      <c r="T73" s="58"/>
      <c r="U73" s="58"/>
      <c r="V73" s="58"/>
    </row>
    <row r="74" spans="1:22">
      <c r="A74" s="58">
        <v>69</v>
      </c>
      <c r="B74" s="58">
        <v>408</v>
      </c>
      <c r="C74" s="58" t="s">
        <v>182</v>
      </c>
      <c r="D74" s="58" t="s">
        <v>1161</v>
      </c>
      <c r="E74" s="58" t="s">
        <v>1267</v>
      </c>
      <c r="F74" s="58">
        <v>1974</v>
      </c>
      <c r="G74" s="58" t="s">
        <v>21</v>
      </c>
      <c r="H74" s="58" t="s">
        <v>25</v>
      </c>
      <c r="I74" s="58" t="s">
        <v>59</v>
      </c>
      <c r="J74" s="58" t="s">
        <v>801</v>
      </c>
      <c r="K74" s="58" t="s">
        <v>327</v>
      </c>
      <c r="L74" s="62">
        <f>ROUNDUP(IF(A73&lt;=20, 18,IF(A73&lt;=40, 19,MIN(24, 19 + (A73-40)/20))),0)</f>
        <v>21</v>
      </c>
      <c r="M74" s="58"/>
      <c r="N74" s="58">
        <f>Result!W69</f>
        <v>0</v>
      </c>
      <c r="O74" s="58">
        <f>Result!Z69</f>
        <v>0</v>
      </c>
      <c r="P74" s="58">
        <f>Result!X69</f>
        <v>0</v>
      </c>
      <c r="Q74" s="58">
        <f>Result!Y69</f>
        <v>0</v>
      </c>
      <c r="R74" s="58">
        <f>Result!V69</f>
        <v>0</v>
      </c>
      <c r="S74" s="58"/>
      <c r="T74" s="58"/>
      <c r="U74" s="58"/>
      <c r="V74" s="58"/>
    </row>
    <row r="75" spans="1:22">
      <c r="A75" s="58">
        <v>70</v>
      </c>
      <c r="B75" s="58">
        <v>409</v>
      </c>
      <c r="C75" s="58" t="s">
        <v>183</v>
      </c>
      <c r="D75" s="58" t="s">
        <v>1116</v>
      </c>
      <c r="E75" s="58" t="s">
        <v>1268</v>
      </c>
      <c r="F75" s="58">
        <v>1977</v>
      </c>
      <c r="G75" s="58" t="s">
        <v>21</v>
      </c>
      <c r="H75" s="58" t="s">
        <v>184</v>
      </c>
      <c r="I75" s="58" t="s">
        <v>20</v>
      </c>
      <c r="J75" s="58" t="s">
        <v>852</v>
      </c>
      <c r="K75" s="58" t="s">
        <v>654</v>
      </c>
      <c r="L75" s="62">
        <f>ROUNDUP(IF(A74&lt;=20, 18,IF(A74&lt;=40, 19,MIN(24, 19 + (A74-40)/20))),0)</f>
        <v>21</v>
      </c>
      <c r="M75" s="58"/>
      <c r="N75" s="58">
        <f>Result!W70</f>
        <v>4</v>
      </c>
      <c r="O75" s="58">
        <f>Result!Z70</f>
        <v>5.5</v>
      </c>
      <c r="P75" s="58">
        <f>Result!X70</f>
        <v>4</v>
      </c>
      <c r="Q75" s="58">
        <f>Result!Y70</f>
        <v>5.5</v>
      </c>
      <c r="R75" s="58">
        <f>Result!V70</f>
        <v>5</v>
      </c>
      <c r="S75" s="58"/>
      <c r="T75" s="58"/>
      <c r="U75" s="58"/>
      <c r="V75" s="58"/>
    </row>
    <row r="76" spans="1:22">
      <c r="A76" s="58">
        <v>71</v>
      </c>
      <c r="B76" s="58">
        <v>410</v>
      </c>
      <c r="C76" s="58" t="s">
        <v>185</v>
      </c>
      <c r="D76" s="58" t="s">
        <v>1162</v>
      </c>
      <c r="E76" s="58" t="s">
        <v>1238</v>
      </c>
      <c r="F76" s="58">
        <v>1976</v>
      </c>
      <c r="G76" s="58" t="s">
        <v>21</v>
      </c>
      <c r="H76" s="58" t="s">
        <v>186</v>
      </c>
      <c r="I76" s="58" t="s">
        <v>187</v>
      </c>
      <c r="J76" s="58" t="s">
        <v>878</v>
      </c>
      <c r="K76" s="58" t="s">
        <v>315</v>
      </c>
      <c r="L76" s="62">
        <f>ROUNDUP(IF(A75&lt;=20, 18,IF(A75&lt;=40, 19,MIN(24, 19 + (A75-40)/20))),0)</f>
        <v>21</v>
      </c>
      <c r="M76" s="58"/>
      <c r="N76" s="58">
        <f>Result!W71</f>
        <v>0</v>
      </c>
      <c r="O76" s="58">
        <f>Result!Z71</f>
        <v>0</v>
      </c>
      <c r="P76" s="58">
        <f>Result!X71</f>
        <v>0</v>
      </c>
      <c r="Q76" s="58">
        <f>Result!Y71</f>
        <v>0</v>
      </c>
      <c r="R76" s="58">
        <f>Result!V71</f>
        <v>0</v>
      </c>
      <c r="S76" s="58"/>
      <c r="T76" s="58"/>
      <c r="U76" s="58"/>
      <c r="V76" s="58"/>
    </row>
    <row r="77" spans="1:22">
      <c r="A77" s="58">
        <v>72</v>
      </c>
      <c r="B77" s="58">
        <v>411</v>
      </c>
      <c r="C77" s="58" t="s">
        <v>188</v>
      </c>
      <c r="D77" s="58" t="s">
        <v>1163</v>
      </c>
      <c r="E77" s="58" t="s">
        <v>1269</v>
      </c>
      <c r="F77" s="58">
        <v>1975</v>
      </c>
      <c r="G77" s="58" t="s">
        <v>21</v>
      </c>
      <c r="H77" s="58" t="s">
        <v>23</v>
      </c>
      <c r="I77" s="58" t="s">
        <v>20</v>
      </c>
      <c r="J77" s="58" t="s">
        <v>889</v>
      </c>
      <c r="K77" s="58" t="s">
        <v>315</v>
      </c>
      <c r="L77" s="62">
        <f>ROUNDUP(IF(A76&lt;=20, 18,IF(A76&lt;=40, 19,MIN(24, 19 + (A76-40)/20))),0)</f>
        <v>21</v>
      </c>
      <c r="M77" s="58"/>
      <c r="N77" s="58">
        <f>Result!W72</f>
        <v>0</v>
      </c>
      <c r="O77" s="58">
        <f>Result!Z72</f>
        <v>0</v>
      </c>
      <c r="P77" s="58">
        <f>Result!X72</f>
        <v>0</v>
      </c>
      <c r="Q77" s="58">
        <f>Result!Y72</f>
        <v>0</v>
      </c>
      <c r="R77" s="58">
        <f>Result!V72</f>
        <v>0</v>
      </c>
      <c r="S77" s="58"/>
      <c r="T77" s="58"/>
      <c r="U77" s="58"/>
      <c r="V77" s="58"/>
    </row>
    <row r="78" spans="1:22">
      <c r="A78" s="58">
        <v>73</v>
      </c>
      <c r="B78" s="58">
        <v>412</v>
      </c>
      <c r="C78" s="58" t="s">
        <v>189</v>
      </c>
      <c r="D78" s="58" t="s">
        <v>1115</v>
      </c>
      <c r="E78" s="58" t="s">
        <v>1218</v>
      </c>
      <c r="F78" s="58">
        <v>1974</v>
      </c>
      <c r="G78" s="58" t="s">
        <v>21</v>
      </c>
      <c r="H78" s="58" t="s">
        <v>41</v>
      </c>
      <c r="I78" s="58" t="s">
        <v>20</v>
      </c>
      <c r="J78" s="58" t="s">
        <v>931</v>
      </c>
      <c r="K78" s="58" t="s">
        <v>654</v>
      </c>
      <c r="L78" s="62">
        <f>ROUNDUP(IF(A77&lt;=20, 18,IF(A77&lt;=40, 19,MIN(24, 19 + (A77-40)/20))),0)</f>
        <v>21</v>
      </c>
      <c r="M78" s="58"/>
      <c r="N78" s="58">
        <f>Result!W73</f>
        <v>2</v>
      </c>
      <c r="O78" s="58">
        <f>Result!Z73</f>
        <v>5.5</v>
      </c>
      <c r="P78" s="58">
        <f>Result!X73</f>
        <v>5.5</v>
      </c>
      <c r="Q78" s="58">
        <f>Result!Y73</f>
        <v>5.5</v>
      </c>
      <c r="R78" s="58">
        <f>Result!V73</f>
        <v>4.5</v>
      </c>
      <c r="S78" s="58"/>
      <c r="T78" s="58"/>
      <c r="U78" s="58"/>
      <c r="V78" s="58"/>
    </row>
    <row r="79" spans="1:22">
      <c r="A79" s="58">
        <v>74</v>
      </c>
      <c r="B79" s="58">
        <v>413</v>
      </c>
      <c r="C79" s="58" t="s">
        <v>190</v>
      </c>
      <c r="D79" s="58" t="s">
        <v>1085</v>
      </c>
      <c r="E79" s="58" t="s">
        <v>1270</v>
      </c>
      <c r="F79" s="58">
        <v>1989</v>
      </c>
      <c r="G79" s="58" t="s">
        <v>30</v>
      </c>
      <c r="H79" s="58" t="s">
        <v>191</v>
      </c>
      <c r="I79" s="58" t="s">
        <v>20</v>
      </c>
      <c r="J79" s="58" t="s">
        <v>1030</v>
      </c>
      <c r="K79" s="58" t="s">
        <v>327</v>
      </c>
      <c r="L79" s="62">
        <f>ROUNDUP(IF(A78&lt;=20, 18,IF(A78&lt;=40, 19,MIN(24, 19 + (A78-40)/20))),0)</f>
        <v>21</v>
      </c>
      <c r="M79" s="58"/>
      <c r="N79" s="58">
        <f>Result!W74</f>
        <v>0</v>
      </c>
      <c r="O79" s="58">
        <f>Result!Z74</f>
        <v>0</v>
      </c>
      <c r="P79" s="58">
        <f>Result!X74</f>
        <v>0</v>
      </c>
      <c r="Q79" s="58">
        <f>Result!Y74</f>
        <v>0</v>
      </c>
      <c r="R79" s="58">
        <f>Result!V74</f>
        <v>0</v>
      </c>
      <c r="S79" s="58"/>
      <c r="T79" s="58"/>
      <c r="U79" s="58"/>
      <c r="V79" s="58"/>
    </row>
    <row r="80" spans="1:22">
      <c r="A80" s="58">
        <v>75</v>
      </c>
      <c r="B80" s="58">
        <v>414</v>
      </c>
      <c r="C80" s="58" t="s">
        <v>192</v>
      </c>
      <c r="D80" s="58" t="s">
        <v>1164</v>
      </c>
      <c r="E80" s="58" t="s">
        <v>1263</v>
      </c>
      <c r="F80" s="58">
        <v>1978</v>
      </c>
      <c r="G80" s="58" t="s">
        <v>30</v>
      </c>
      <c r="H80" s="58" t="s">
        <v>191</v>
      </c>
      <c r="I80" s="58" t="s">
        <v>20</v>
      </c>
      <c r="J80" s="58">
        <v>1178002480</v>
      </c>
      <c r="K80" s="58" t="s">
        <v>327</v>
      </c>
      <c r="L80" s="62">
        <f>ROUNDUP(IF(A79&lt;=20, 18,IF(A79&lt;=40, 19,MIN(24, 19 + (A79-40)/20))),0)</f>
        <v>21</v>
      </c>
      <c r="M80" s="58"/>
      <c r="N80" s="58">
        <f>Result!W75</f>
        <v>0</v>
      </c>
      <c r="O80" s="58">
        <f>Result!Z75</f>
        <v>0</v>
      </c>
      <c r="P80" s="58">
        <f>Result!X75</f>
        <v>0</v>
      </c>
      <c r="Q80" s="58">
        <f>Result!Y75</f>
        <v>0</v>
      </c>
      <c r="R80" s="58">
        <f>Result!V75</f>
        <v>0</v>
      </c>
      <c r="S80" s="58"/>
      <c r="T80" s="58"/>
      <c r="U80" s="58"/>
      <c r="V80" s="58"/>
    </row>
    <row r="81" spans="1:22">
      <c r="A81" s="58">
        <v>76</v>
      </c>
      <c r="B81" s="58">
        <v>415</v>
      </c>
      <c r="C81" s="58" t="s">
        <v>193</v>
      </c>
      <c r="D81" s="58" t="s">
        <v>1053</v>
      </c>
      <c r="E81" s="58" t="s">
        <v>1271</v>
      </c>
      <c r="F81" s="58">
        <v>1977</v>
      </c>
      <c r="G81" s="58" t="s">
        <v>30</v>
      </c>
      <c r="H81" s="58" t="s">
        <v>107</v>
      </c>
      <c r="I81" s="58" t="s">
        <v>100</v>
      </c>
      <c r="J81" s="58">
        <v>1184039143</v>
      </c>
      <c r="K81" s="58" t="s">
        <v>654</v>
      </c>
      <c r="L81" s="62">
        <f>ROUNDUP(IF(A80&lt;=20, 18,IF(A80&lt;=40, 19,MIN(24, 19 + (A80-40)/20))),0)</f>
        <v>21</v>
      </c>
      <c r="M81" s="58"/>
      <c r="N81" s="58">
        <f>Result!W76</f>
        <v>0</v>
      </c>
      <c r="O81" s="58">
        <f>Result!Z76</f>
        <v>0</v>
      </c>
      <c r="P81" s="58">
        <f>Result!X76</f>
        <v>0</v>
      </c>
      <c r="Q81" s="58">
        <f>Result!Y76</f>
        <v>0</v>
      </c>
      <c r="R81" s="58">
        <f>Result!V76</f>
        <v>0</v>
      </c>
      <c r="S81" s="58"/>
      <c r="T81" s="58"/>
      <c r="U81" s="58"/>
      <c r="V81" s="58"/>
    </row>
    <row r="82" spans="1:22">
      <c r="A82" s="58">
        <v>77</v>
      </c>
      <c r="B82" s="58">
        <v>416</v>
      </c>
      <c r="C82" s="58" t="s">
        <v>194</v>
      </c>
      <c r="D82" s="58" t="s">
        <v>1118</v>
      </c>
      <c r="E82" s="58" t="s">
        <v>1238</v>
      </c>
      <c r="F82" s="58">
        <v>1976</v>
      </c>
      <c r="G82" s="58" t="s">
        <v>30</v>
      </c>
      <c r="H82" s="58" t="s">
        <v>107</v>
      </c>
      <c r="I82" s="58" t="s">
        <v>100</v>
      </c>
      <c r="J82" s="58">
        <v>27176011754</v>
      </c>
      <c r="K82" s="58" t="s">
        <v>327</v>
      </c>
      <c r="L82" s="62">
        <f>ROUNDUP(IF(A81&lt;=20, 18,IF(A81&lt;=40, 19,MIN(24, 19 + (A81-40)/20))),0)</f>
        <v>21</v>
      </c>
      <c r="M82" s="58"/>
      <c r="N82" s="58">
        <f>Result!W77</f>
        <v>4</v>
      </c>
      <c r="O82" s="58">
        <f>Result!Z77</f>
        <v>5</v>
      </c>
      <c r="P82" s="58">
        <f>Result!X77</f>
        <v>5.5</v>
      </c>
      <c r="Q82" s="58">
        <f>Result!Y77</f>
        <v>6</v>
      </c>
      <c r="R82" s="58">
        <f>Result!V77</f>
        <v>5</v>
      </c>
      <c r="S82" s="58"/>
      <c r="T82" s="58"/>
      <c r="U82" s="58"/>
      <c r="V82" s="58"/>
    </row>
    <row r="83" spans="1:22">
      <c r="A83" s="58">
        <v>78</v>
      </c>
      <c r="B83" s="58">
        <v>417</v>
      </c>
      <c r="C83" s="58" t="s">
        <v>195</v>
      </c>
      <c r="D83" s="58" t="s">
        <v>1072</v>
      </c>
      <c r="E83" s="58" t="s">
        <v>1272</v>
      </c>
      <c r="F83" s="58">
        <v>1996</v>
      </c>
      <c r="G83" s="58" t="s">
        <v>19</v>
      </c>
      <c r="H83" s="58" t="s">
        <v>196</v>
      </c>
      <c r="I83" s="58" t="s">
        <v>91</v>
      </c>
      <c r="J83" s="58">
        <v>1196039783</v>
      </c>
      <c r="K83" s="58" t="s">
        <v>654</v>
      </c>
      <c r="L83" s="62">
        <f>ROUNDUP(IF(A82&lt;=20, 18,IF(A82&lt;=40, 19,MIN(24, 19 + (A82-40)/20))),0)</f>
        <v>21</v>
      </c>
      <c r="M83" s="58"/>
      <c r="N83" s="58">
        <f>Result!W78</f>
        <v>0</v>
      </c>
      <c r="O83" s="58">
        <f>Result!Z78</f>
        <v>0</v>
      </c>
      <c r="P83" s="58">
        <f>Result!X78</f>
        <v>0</v>
      </c>
      <c r="Q83" s="58">
        <f>Result!Y78</f>
        <v>0</v>
      </c>
      <c r="R83" s="58">
        <f>Result!V78</f>
        <v>0</v>
      </c>
      <c r="S83" s="58"/>
      <c r="T83" s="58"/>
      <c r="U83" s="58"/>
      <c r="V83" s="58"/>
    </row>
    <row r="84" spans="1:22">
      <c r="A84" s="58">
        <v>79</v>
      </c>
      <c r="B84" s="58">
        <v>418</v>
      </c>
      <c r="C84" s="58" t="s">
        <v>197</v>
      </c>
      <c r="D84" s="58" t="s">
        <v>1165</v>
      </c>
      <c r="E84" s="58" t="s">
        <v>1233</v>
      </c>
      <c r="F84" s="58">
        <v>1993</v>
      </c>
      <c r="G84" s="58" t="s">
        <v>19</v>
      </c>
      <c r="H84" s="58" t="s">
        <v>198</v>
      </c>
      <c r="I84" s="58" t="s">
        <v>100</v>
      </c>
      <c r="J84" s="58">
        <v>1193046294</v>
      </c>
      <c r="K84" s="58" t="s">
        <v>654</v>
      </c>
      <c r="L84" s="62">
        <f>ROUNDUP(IF(A83&lt;=20, 18,IF(A83&lt;=40, 19,MIN(24, 19 + (A83-40)/20))),0)</f>
        <v>21</v>
      </c>
      <c r="M84" s="58"/>
      <c r="N84" s="58">
        <f>Result!W79</f>
        <v>0</v>
      </c>
      <c r="O84" s="58">
        <f>Result!Z79</f>
        <v>0</v>
      </c>
      <c r="P84" s="58">
        <f>Result!X79</f>
        <v>0</v>
      </c>
      <c r="Q84" s="58">
        <f>Result!Y79</f>
        <v>0</v>
      </c>
      <c r="R84" s="58">
        <f>Result!V79</f>
        <v>0</v>
      </c>
      <c r="S84" s="58"/>
      <c r="T84" s="58"/>
      <c r="U84" s="58"/>
      <c r="V84" s="58"/>
    </row>
    <row r="85" spans="1:22">
      <c r="A85" s="58">
        <v>80</v>
      </c>
      <c r="B85" s="58">
        <v>419</v>
      </c>
      <c r="C85" s="58" t="s">
        <v>199</v>
      </c>
      <c r="D85" s="58" t="s">
        <v>1060</v>
      </c>
      <c r="E85" s="58" t="s">
        <v>1244</v>
      </c>
      <c r="F85" s="58">
        <v>1980</v>
      </c>
      <c r="G85" s="58" t="s">
        <v>19</v>
      </c>
      <c r="H85" s="58" t="s">
        <v>200</v>
      </c>
      <c r="I85" s="58" t="s">
        <v>91</v>
      </c>
      <c r="J85" s="58">
        <v>1180044201</v>
      </c>
      <c r="K85" s="58" t="s">
        <v>654</v>
      </c>
      <c r="L85" s="62">
        <f>ROUNDUP(IF(A84&lt;=20, 18,IF(A84&lt;=40, 19,MIN(24, 19 + (A84-40)/20))),0)</f>
        <v>21</v>
      </c>
      <c r="M85" s="58"/>
      <c r="N85" s="58">
        <f>Result!W80</f>
        <v>0</v>
      </c>
      <c r="O85" s="58">
        <f>Result!Z80</f>
        <v>0</v>
      </c>
      <c r="P85" s="58">
        <f>Result!X80</f>
        <v>0</v>
      </c>
      <c r="Q85" s="58">
        <f>Result!Y80</f>
        <v>0</v>
      </c>
      <c r="R85" s="58">
        <f>Result!V80</f>
        <v>0</v>
      </c>
      <c r="S85" s="58"/>
      <c r="T85" s="58"/>
      <c r="U85" s="58"/>
      <c r="V85" s="58"/>
    </row>
    <row r="86" spans="1:22">
      <c r="A86" s="58">
        <v>81</v>
      </c>
      <c r="B86" s="58">
        <v>420</v>
      </c>
      <c r="C86" s="58" t="s">
        <v>201</v>
      </c>
      <c r="D86" s="58" t="s">
        <v>1166</v>
      </c>
      <c r="E86" s="58" t="s">
        <v>1252</v>
      </c>
      <c r="F86" s="58">
        <v>1979</v>
      </c>
      <c r="G86" s="58" t="s">
        <v>19</v>
      </c>
      <c r="H86" s="58" t="s">
        <v>196</v>
      </c>
      <c r="I86" s="58" t="s">
        <v>91</v>
      </c>
      <c r="J86" s="58">
        <v>1179003519</v>
      </c>
      <c r="K86" s="58" t="s">
        <v>377</v>
      </c>
      <c r="L86" s="62">
        <f>ROUNDUP(IF(A85&lt;=20, 18,IF(A85&lt;=40, 19,MIN(24, 19 + (A85-40)/20))),0)</f>
        <v>21</v>
      </c>
      <c r="M86" s="58"/>
      <c r="N86" s="58">
        <f>Result!W81</f>
        <v>0</v>
      </c>
      <c r="O86" s="58">
        <f>Result!Z81</f>
        <v>0</v>
      </c>
      <c r="P86" s="58">
        <f>Result!X81</f>
        <v>0</v>
      </c>
      <c r="Q86" s="58">
        <f>Result!Y81</f>
        <v>0</v>
      </c>
      <c r="R86" s="58">
        <f>Result!V81</f>
        <v>0</v>
      </c>
      <c r="S86" s="58"/>
      <c r="T86" s="58"/>
      <c r="U86" s="58"/>
      <c r="V86" s="58"/>
    </row>
    <row r="87" spans="1:22">
      <c r="A87" s="58">
        <v>82</v>
      </c>
      <c r="B87" s="58">
        <v>421</v>
      </c>
      <c r="C87" s="58" t="s">
        <v>202</v>
      </c>
      <c r="D87" s="58" t="s">
        <v>1122</v>
      </c>
      <c r="E87" s="58" t="s">
        <v>1222</v>
      </c>
      <c r="F87" s="58">
        <v>1978</v>
      </c>
      <c r="G87" s="58" t="s">
        <v>19</v>
      </c>
      <c r="H87" s="58" t="s">
        <v>203</v>
      </c>
      <c r="I87" s="58" t="s">
        <v>59</v>
      </c>
      <c r="J87" s="58" t="s">
        <v>528</v>
      </c>
      <c r="K87" s="58" t="s">
        <v>394</v>
      </c>
      <c r="L87" s="62">
        <f>ROUNDUP(IF(A86&lt;=20, 18,IF(A86&lt;=40, 19,MIN(24, 19 + (A86-40)/20))),0)</f>
        <v>22</v>
      </c>
      <c r="M87" s="58"/>
      <c r="N87" s="58">
        <f>Result!W82</f>
        <v>5.5</v>
      </c>
      <c r="O87" s="58">
        <f>Result!Z82</f>
        <v>5.5</v>
      </c>
      <c r="P87" s="58">
        <f>Result!X82</f>
        <v>6</v>
      </c>
      <c r="Q87" s="58">
        <f>Result!Y82</f>
        <v>5.5</v>
      </c>
      <c r="R87" s="58">
        <f>Result!V82</f>
        <v>5.5</v>
      </c>
      <c r="S87" s="58"/>
      <c r="T87" s="58"/>
      <c r="U87" s="58"/>
      <c r="V87" s="58"/>
    </row>
    <row r="88" spans="1:22">
      <c r="A88" s="58">
        <v>83</v>
      </c>
      <c r="B88" s="58">
        <v>422</v>
      </c>
      <c r="C88" s="58" t="s">
        <v>204</v>
      </c>
      <c r="D88" s="58" t="s">
        <v>1371</v>
      </c>
      <c r="E88" s="58" t="s">
        <v>1273</v>
      </c>
      <c r="F88" s="58">
        <v>1977</v>
      </c>
      <c r="G88" s="58" t="s">
        <v>19</v>
      </c>
      <c r="H88" s="58" t="s">
        <v>205</v>
      </c>
      <c r="I88" s="58" t="s">
        <v>20</v>
      </c>
      <c r="J88" s="58" t="s">
        <v>498</v>
      </c>
      <c r="K88" s="58" t="s">
        <v>327</v>
      </c>
      <c r="L88" s="62">
        <f>ROUNDUP(IF(A87&lt;=20, 18,IF(A87&lt;=40, 19,MIN(24, 19 + (A87-40)/20))),0)</f>
        <v>22</v>
      </c>
      <c r="M88" s="58"/>
      <c r="N88" s="58">
        <f>Result!W83</f>
        <v>0</v>
      </c>
      <c r="O88" s="58">
        <f>Result!Z83</f>
        <v>0</v>
      </c>
      <c r="P88" s="58">
        <f>Result!X83</f>
        <v>0</v>
      </c>
      <c r="Q88" s="58">
        <f>Result!Y83</f>
        <v>0</v>
      </c>
      <c r="R88" s="58">
        <f>Result!V83</f>
        <v>0</v>
      </c>
      <c r="S88" s="58"/>
      <c r="T88" s="58"/>
      <c r="U88" s="58"/>
      <c r="V88" s="58"/>
    </row>
    <row r="89" spans="1:22">
      <c r="A89" s="58">
        <v>84</v>
      </c>
      <c r="B89" s="58">
        <v>423</v>
      </c>
      <c r="C89" s="58" t="s">
        <v>206</v>
      </c>
      <c r="D89" s="58" t="s">
        <v>1061</v>
      </c>
      <c r="E89" s="58" t="s">
        <v>1274</v>
      </c>
      <c r="F89" s="58">
        <v>1977</v>
      </c>
      <c r="G89" s="58" t="s">
        <v>19</v>
      </c>
      <c r="H89" s="58" t="s">
        <v>207</v>
      </c>
      <c r="I89" s="58" t="s">
        <v>187</v>
      </c>
      <c r="J89" s="58" t="s">
        <v>523</v>
      </c>
      <c r="K89" s="58" t="s">
        <v>377</v>
      </c>
      <c r="L89" s="62">
        <f>ROUNDUP(IF(A88&lt;=20, 18,IF(A88&lt;=40, 19,MIN(24, 19 + (A88-40)/20))),0)</f>
        <v>22</v>
      </c>
      <c r="M89" s="58"/>
      <c r="N89" s="58">
        <f>Result!W84</f>
        <v>0</v>
      </c>
      <c r="O89" s="58">
        <f>Result!Z84</f>
        <v>0</v>
      </c>
      <c r="P89" s="58">
        <f>Result!X84</f>
        <v>0</v>
      </c>
      <c r="Q89" s="58">
        <f>Result!Y84</f>
        <v>0</v>
      </c>
      <c r="R89" s="58">
        <f>Result!V84</f>
        <v>0</v>
      </c>
      <c r="S89" s="58"/>
      <c r="T89" s="58"/>
      <c r="U89" s="58"/>
      <c r="V89" s="58"/>
    </row>
    <row r="90" spans="1:22">
      <c r="A90" s="58">
        <v>85</v>
      </c>
      <c r="B90" s="58">
        <v>424</v>
      </c>
      <c r="C90" s="58" t="s">
        <v>208</v>
      </c>
      <c r="D90" s="58" t="s">
        <v>1045</v>
      </c>
      <c r="E90" s="58" t="s">
        <v>1275</v>
      </c>
      <c r="F90" s="58">
        <v>1977</v>
      </c>
      <c r="G90" s="58" t="s">
        <v>19</v>
      </c>
      <c r="H90" s="58" t="s">
        <v>209</v>
      </c>
      <c r="I90" s="58" t="s">
        <v>210</v>
      </c>
      <c r="J90" s="58" t="s">
        <v>727</v>
      </c>
      <c r="K90" s="58" t="s">
        <v>654</v>
      </c>
      <c r="L90" s="62">
        <f>ROUNDUP(IF(A89&lt;=20, 18,IF(A89&lt;=40, 19,MIN(24, 19 + (A89-40)/20))),0)</f>
        <v>22</v>
      </c>
      <c r="M90" s="58"/>
      <c r="N90" s="58">
        <f>Result!W85</f>
        <v>0</v>
      </c>
      <c r="O90" s="58">
        <f>Result!Z85</f>
        <v>0</v>
      </c>
      <c r="P90" s="58">
        <f>Result!X85</f>
        <v>0</v>
      </c>
      <c r="Q90" s="58">
        <f>Result!Y85</f>
        <v>0</v>
      </c>
      <c r="R90" s="58">
        <f>Result!V85</f>
        <v>0</v>
      </c>
      <c r="S90" s="58"/>
      <c r="T90" s="58"/>
      <c r="U90" s="58"/>
      <c r="V90" s="58"/>
    </row>
    <row r="91" spans="1:22">
      <c r="A91" s="58">
        <v>86</v>
      </c>
      <c r="B91" s="58">
        <v>425</v>
      </c>
      <c r="C91" s="58" t="s">
        <v>211</v>
      </c>
      <c r="D91" s="58" t="s">
        <v>1168</v>
      </c>
      <c r="E91" s="58" t="s">
        <v>1248</v>
      </c>
      <c r="F91" s="58">
        <v>1976</v>
      </c>
      <c r="G91" s="58" t="s">
        <v>19</v>
      </c>
      <c r="H91" s="58" t="s">
        <v>212</v>
      </c>
      <c r="I91" s="58" t="s">
        <v>20</v>
      </c>
      <c r="J91" s="58" t="s">
        <v>728</v>
      </c>
      <c r="K91" s="58" t="s">
        <v>394</v>
      </c>
      <c r="L91" s="62">
        <f>ROUNDUP(IF(A90&lt;=20, 18,IF(A90&lt;=40, 19,MIN(24, 19 + (A90-40)/20))),0)</f>
        <v>22</v>
      </c>
      <c r="M91" s="58"/>
      <c r="N91" s="58">
        <f>Result!W86</f>
        <v>0</v>
      </c>
      <c r="O91" s="58">
        <f>Result!Z86</f>
        <v>0</v>
      </c>
      <c r="P91" s="58">
        <f>Result!X86</f>
        <v>0</v>
      </c>
      <c r="Q91" s="58">
        <f>Result!Y86</f>
        <v>0</v>
      </c>
      <c r="R91" s="58">
        <f>Result!V86</f>
        <v>0</v>
      </c>
      <c r="S91" s="58"/>
      <c r="T91" s="58"/>
      <c r="U91" s="58"/>
      <c r="V91" s="58"/>
    </row>
    <row r="92" spans="1:22">
      <c r="A92" s="58">
        <v>87</v>
      </c>
      <c r="B92" s="58">
        <v>426</v>
      </c>
      <c r="C92" s="58" t="s">
        <v>213</v>
      </c>
      <c r="D92" s="58" t="s">
        <v>1169</v>
      </c>
      <c r="E92" s="58" t="s">
        <v>1260</v>
      </c>
      <c r="F92" s="58">
        <v>1996</v>
      </c>
      <c r="G92" s="58" t="s">
        <v>21</v>
      </c>
      <c r="H92" s="58" t="s">
        <v>23</v>
      </c>
      <c r="I92" s="58" t="s">
        <v>20</v>
      </c>
      <c r="J92" s="58" t="s">
        <v>738</v>
      </c>
      <c r="K92" s="58" t="s">
        <v>734</v>
      </c>
      <c r="L92" s="62">
        <f>ROUNDUP(IF(A91&lt;=20, 18,IF(A91&lt;=40, 19,MIN(24, 19 + (A91-40)/20))),0)</f>
        <v>22</v>
      </c>
      <c r="M92" s="58"/>
      <c r="N92" s="58">
        <f>Result!W87</f>
        <v>0</v>
      </c>
      <c r="O92" s="58">
        <f>Result!Z87</f>
        <v>0</v>
      </c>
      <c r="P92" s="58">
        <f>Result!X87</f>
        <v>0</v>
      </c>
      <c r="Q92" s="58">
        <f>Result!Y87</f>
        <v>0</v>
      </c>
      <c r="R92" s="58">
        <f>Result!V87</f>
        <v>0</v>
      </c>
      <c r="S92" s="58"/>
      <c r="T92" s="58"/>
      <c r="U92" s="58"/>
      <c r="V92" s="58"/>
    </row>
    <row r="93" spans="1:22">
      <c r="A93" s="58">
        <v>88</v>
      </c>
      <c r="B93" s="58">
        <v>427</v>
      </c>
      <c r="C93" s="58" t="s">
        <v>214</v>
      </c>
      <c r="D93" s="58" t="s">
        <v>1123</v>
      </c>
      <c r="E93" s="58" t="s">
        <v>1243</v>
      </c>
      <c r="F93" s="58">
        <v>1996</v>
      </c>
      <c r="G93" s="58" t="s">
        <v>21</v>
      </c>
      <c r="H93" s="58" t="s">
        <v>215</v>
      </c>
      <c r="I93" s="58" t="s">
        <v>20</v>
      </c>
      <c r="J93" s="58" t="s">
        <v>858</v>
      </c>
      <c r="K93" s="58" t="s">
        <v>377</v>
      </c>
      <c r="L93" s="62">
        <f>ROUNDUP(IF(A92&lt;=20, 18,IF(A92&lt;=40, 19,MIN(24, 19 + (A92-40)/20))),0)</f>
        <v>22</v>
      </c>
      <c r="M93" s="58"/>
      <c r="N93" s="58">
        <f>Result!W88</f>
        <v>4</v>
      </c>
      <c r="O93" s="58">
        <f>Result!Z88</f>
        <v>5.5</v>
      </c>
      <c r="P93" s="58">
        <f>Result!X88</f>
        <v>5.5</v>
      </c>
      <c r="Q93" s="58">
        <f>Result!Y88</f>
        <v>6</v>
      </c>
      <c r="R93" s="58">
        <f>Result!V88</f>
        <v>5.5</v>
      </c>
      <c r="S93" s="58"/>
      <c r="T93" s="58"/>
      <c r="U93" s="58"/>
      <c r="V93" s="58"/>
    </row>
    <row r="94" spans="1:22">
      <c r="A94" s="58">
        <v>89</v>
      </c>
      <c r="B94" s="58">
        <v>428</v>
      </c>
      <c r="C94" s="58" t="s">
        <v>194</v>
      </c>
      <c r="D94" s="58" t="s">
        <v>1118</v>
      </c>
      <c r="E94" s="58" t="s">
        <v>1238</v>
      </c>
      <c r="F94" s="58">
        <v>1994</v>
      </c>
      <c r="G94" s="58" t="s">
        <v>21</v>
      </c>
      <c r="H94" s="58" t="s">
        <v>177</v>
      </c>
      <c r="I94" s="58" t="s">
        <v>20</v>
      </c>
      <c r="J94" s="58" t="s">
        <v>872</v>
      </c>
      <c r="K94" s="58" t="s">
        <v>654</v>
      </c>
      <c r="L94" s="62">
        <f>ROUNDUP(IF(A93&lt;=20, 18,IF(A93&lt;=40, 19,MIN(24, 19 + (A93-40)/20))),0)</f>
        <v>22</v>
      </c>
      <c r="M94" s="58"/>
      <c r="N94" s="58">
        <f>Result!W89</f>
        <v>4</v>
      </c>
      <c r="O94" s="58">
        <f>Result!Z89</f>
        <v>5</v>
      </c>
      <c r="P94" s="58">
        <f>Result!X89</f>
        <v>5.5</v>
      </c>
      <c r="Q94" s="58">
        <f>Result!Y89</f>
        <v>6</v>
      </c>
      <c r="R94" s="58">
        <f>Result!V89</f>
        <v>5</v>
      </c>
      <c r="S94" s="58"/>
      <c r="T94" s="58"/>
      <c r="U94" s="58"/>
      <c r="V94" s="58"/>
    </row>
    <row r="95" spans="1:22">
      <c r="A95" s="58">
        <v>90</v>
      </c>
      <c r="B95" s="58">
        <v>429</v>
      </c>
      <c r="C95" s="58" t="s">
        <v>40</v>
      </c>
      <c r="D95" s="58" t="s">
        <v>1120</v>
      </c>
      <c r="E95" s="58" t="s">
        <v>1233</v>
      </c>
      <c r="F95" s="58">
        <v>1976</v>
      </c>
      <c r="G95" s="58" t="s">
        <v>30</v>
      </c>
      <c r="H95" s="58" t="s">
        <v>46</v>
      </c>
      <c r="I95" s="58" t="s">
        <v>59</v>
      </c>
      <c r="J95" s="58" t="s">
        <v>883</v>
      </c>
      <c r="K95" s="58" t="s">
        <v>377</v>
      </c>
      <c r="L95" s="62">
        <f>ROUNDUP(IF(A94&lt;=20, 18,IF(A94&lt;=40, 19,MIN(24, 19 + (A94-40)/20))),0)</f>
        <v>22</v>
      </c>
      <c r="M95" s="58"/>
      <c r="N95" s="58">
        <f>Result!W90</f>
        <v>5</v>
      </c>
      <c r="O95" s="58">
        <f>Result!Z90</f>
        <v>5</v>
      </c>
      <c r="P95" s="58">
        <f>Result!X90</f>
        <v>5</v>
      </c>
      <c r="Q95" s="58">
        <f>Result!Y90</f>
        <v>6</v>
      </c>
      <c r="R95" s="58">
        <f>Result!V90</f>
        <v>5.5</v>
      </c>
      <c r="S95" s="58"/>
      <c r="T95" s="58"/>
      <c r="U95" s="58"/>
      <c r="V95" s="58"/>
    </row>
    <row r="96" spans="1:22">
      <c r="A96" s="58">
        <v>91</v>
      </c>
      <c r="B96" s="58">
        <v>430</v>
      </c>
      <c r="C96" s="58" t="s">
        <v>216</v>
      </c>
      <c r="D96" s="58" t="s">
        <v>1170</v>
      </c>
      <c r="E96" s="58" t="s">
        <v>1238</v>
      </c>
      <c r="F96" s="58">
        <v>1978</v>
      </c>
      <c r="G96" s="58" t="s">
        <v>30</v>
      </c>
      <c r="H96" s="58" t="s">
        <v>46</v>
      </c>
      <c r="I96" s="58" t="s">
        <v>59</v>
      </c>
      <c r="J96" s="58">
        <v>1184057507</v>
      </c>
      <c r="K96" s="58" t="s">
        <v>315</v>
      </c>
      <c r="L96" s="62">
        <f>ROUNDUP(IF(A95&lt;=20, 18,IF(A95&lt;=40, 19,MIN(24, 19 + (A95-40)/20))),0)</f>
        <v>22</v>
      </c>
      <c r="M96" s="58"/>
      <c r="N96" s="58">
        <f>Result!W91</f>
        <v>5.5</v>
      </c>
      <c r="O96" s="58">
        <f>Result!Z91</f>
        <v>5.5</v>
      </c>
      <c r="P96" s="58">
        <f>Result!X91</f>
        <v>6.5</v>
      </c>
      <c r="Q96" s="58">
        <f>Result!Y91</f>
        <v>6</v>
      </c>
      <c r="R96" s="58">
        <f>Result!V91</f>
        <v>6</v>
      </c>
      <c r="S96" s="58"/>
      <c r="T96" s="58"/>
      <c r="U96" s="58"/>
      <c r="V96" s="58"/>
    </row>
    <row r="97" spans="1:22">
      <c r="A97" s="58">
        <v>92</v>
      </c>
      <c r="B97" s="58">
        <v>431</v>
      </c>
      <c r="C97" s="58" t="s">
        <v>217</v>
      </c>
      <c r="D97" s="58" t="s">
        <v>1171</v>
      </c>
      <c r="E97" s="58" t="s">
        <v>1276</v>
      </c>
      <c r="F97" s="58">
        <v>1984</v>
      </c>
      <c r="G97" s="58" t="s">
        <v>30</v>
      </c>
      <c r="H97" s="58" t="s">
        <v>45</v>
      </c>
      <c r="I97" s="58" t="s">
        <v>187</v>
      </c>
      <c r="J97" s="58">
        <v>1184006475</v>
      </c>
      <c r="K97" s="58" t="s">
        <v>327</v>
      </c>
      <c r="L97" s="62">
        <f>ROUNDUP(IF(A96&lt;=20, 18,IF(A96&lt;=40, 19,MIN(24, 19 + (A96-40)/20))),0)</f>
        <v>22</v>
      </c>
      <c r="M97" s="58"/>
      <c r="N97" s="58">
        <f>Result!W92</f>
        <v>0</v>
      </c>
      <c r="O97" s="58">
        <f>Result!Z92</f>
        <v>0</v>
      </c>
      <c r="P97" s="58">
        <f>Result!X92</f>
        <v>0</v>
      </c>
      <c r="Q97" s="58">
        <f>Result!Y92</f>
        <v>0</v>
      </c>
      <c r="R97" s="58">
        <f>Result!V92</f>
        <v>0</v>
      </c>
      <c r="S97" s="58"/>
      <c r="T97" s="58"/>
      <c r="U97" s="58"/>
      <c r="V97" s="58"/>
    </row>
    <row r="98" spans="1:22">
      <c r="A98" s="58">
        <v>93</v>
      </c>
      <c r="B98" s="58">
        <v>432</v>
      </c>
      <c r="C98" s="58" t="s">
        <v>218</v>
      </c>
      <c r="D98" s="58" t="s">
        <v>1063</v>
      </c>
      <c r="E98" s="58" t="s">
        <v>1247</v>
      </c>
      <c r="F98" s="58">
        <v>1982</v>
      </c>
      <c r="G98" s="58" t="s">
        <v>19</v>
      </c>
      <c r="H98" s="58" t="s">
        <v>219</v>
      </c>
      <c r="I98" s="58" t="s">
        <v>121</v>
      </c>
      <c r="J98" s="58">
        <v>1182042023</v>
      </c>
      <c r="K98" s="58" t="s">
        <v>377</v>
      </c>
      <c r="L98" s="62">
        <f>ROUNDUP(IF(A97&lt;=20, 18,IF(A97&lt;=40, 19,MIN(24, 19 + (A97-40)/20))),0)</f>
        <v>22</v>
      </c>
      <c r="M98" s="58"/>
      <c r="N98" s="58">
        <f>Result!W93</f>
        <v>0</v>
      </c>
      <c r="O98" s="58">
        <f>Result!Z93</f>
        <v>0</v>
      </c>
      <c r="P98" s="58">
        <f>Result!X93</f>
        <v>0</v>
      </c>
      <c r="Q98" s="58">
        <f>Result!Y93</f>
        <v>0</v>
      </c>
      <c r="R98" s="58">
        <f>Result!V93</f>
        <v>0</v>
      </c>
      <c r="S98" s="58"/>
      <c r="T98" s="58"/>
      <c r="U98" s="58"/>
      <c r="V98" s="58"/>
    </row>
    <row r="99" spans="1:22">
      <c r="A99" s="58">
        <v>94</v>
      </c>
      <c r="B99" s="58">
        <v>433</v>
      </c>
      <c r="C99" s="58" t="s">
        <v>220</v>
      </c>
      <c r="D99" s="58" t="s">
        <v>1172</v>
      </c>
      <c r="E99" s="58" t="s">
        <v>1277</v>
      </c>
      <c r="F99" s="58">
        <v>1985</v>
      </c>
      <c r="G99" s="58" t="s">
        <v>19</v>
      </c>
      <c r="H99" s="58" t="s">
        <v>221</v>
      </c>
      <c r="I99" s="58" t="s">
        <v>39</v>
      </c>
      <c r="J99" s="58">
        <v>1185019297</v>
      </c>
      <c r="K99" s="58" t="s">
        <v>377</v>
      </c>
      <c r="L99" s="62">
        <f>ROUNDUP(IF(A98&lt;=20, 18,IF(A98&lt;=40, 19,MIN(24, 19 + (A98-40)/20))),0)</f>
        <v>22</v>
      </c>
      <c r="M99" s="58"/>
      <c r="N99" s="58">
        <f>Result!W94</f>
        <v>0</v>
      </c>
      <c r="O99" s="58">
        <f>Result!Z94</f>
        <v>0</v>
      </c>
      <c r="P99" s="58">
        <f>Result!X94</f>
        <v>0</v>
      </c>
      <c r="Q99" s="58">
        <f>Result!Y94</f>
        <v>0</v>
      </c>
      <c r="R99" s="58">
        <f>Result!V94</f>
        <v>0</v>
      </c>
      <c r="S99" s="58"/>
      <c r="T99" s="58"/>
      <c r="U99" s="58"/>
      <c r="V99" s="58"/>
    </row>
    <row r="100" spans="1:22">
      <c r="A100" s="58">
        <v>95</v>
      </c>
      <c r="B100" s="58">
        <v>603</v>
      </c>
      <c r="C100" s="58" t="s">
        <v>222</v>
      </c>
      <c r="D100" s="58" t="s">
        <v>1173</v>
      </c>
      <c r="E100" s="58" t="s">
        <v>1276</v>
      </c>
      <c r="F100" s="58">
        <v>1977</v>
      </c>
      <c r="G100" s="58" t="s">
        <v>19</v>
      </c>
      <c r="H100" s="58" t="s">
        <v>223</v>
      </c>
      <c r="I100" s="58" t="s">
        <v>294</v>
      </c>
      <c r="J100" s="58">
        <v>1177010105</v>
      </c>
      <c r="K100" s="58" t="s">
        <v>377</v>
      </c>
      <c r="L100" s="62">
        <f>ROUNDUP(IF(A99&lt;=20, 18,IF(A99&lt;=40, 19,MIN(24, 19 + (A99-40)/20))),0)</f>
        <v>22</v>
      </c>
      <c r="M100" s="58"/>
      <c r="N100" s="58">
        <f>Result!W95</f>
        <v>0</v>
      </c>
      <c r="O100" s="58">
        <f>Result!Z95</f>
        <v>0</v>
      </c>
      <c r="P100" s="58">
        <f>Result!X95</f>
        <v>0</v>
      </c>
      <c r="Q100" s="58">
        <f>Result!Y95</f>
        <v>0</v>
      </c>
      <c r="R100" s="58">
        <f>Result!V95</f>
        <v>0</v>
      </c>
      <c r="S100" s="58"/>
      <c r="T100" s="58"/>
      <c r="U100" s="58"/>
      <c r="V100" s="58"/>
    </row>
    <row r="101" spans="1:22">
      <c r="A101" s="58">
        <v>96</v>
      </c>
      <c r="B101" s="58">
        <v>481</v>
      </c>
      <c r="C101" s="58" t="s">
        <v>224</v>
      </c>
      <c r="D101" s="58" t="s">
        <v>1174</v>
      </c>
      <c r="E101" s="58" t="s">
        <v>1219</v>
      </c>
      <c r="F101" s="58">
        <v>1983</v>
      </c>
      <c r="G101" s="58" t="s">
        <v>30</v>
      </c>
      <c r="H101" s="58" t="s">
        <v>31</v>
      </c>
      <c r="I101" s="58" t="s">
        <v>225</v>
      </c>
      <c r="J101" s="58">
        <v>1083006421</v>
      </c>
      <c r="K101" s="58" t="s">
        <v>327</v>
      </c>
      <c r="L101" s="62">
        <f>ROUNDUP(IF(A100&lt;=20, 18,IF(A100&lt;=40, 19,MIN(24, 19 + (A100-40)/20))),0)</f>
        <v>22</v>
      </c>
      <c r="M101" s="58"/>
      <c r="N101" s="58">
        <f>Result!W96</f>
        <v>5.5</v>
      </c>
      <c r="O101" s="58">
        <f>Result!Z96</f>
        <v>6</v>
      </c>
      <c r="P101" s="58">
        <f>Result!X96</f>
        <v>6</v>
      </c>
      <c r="Q101" s="58">
        <f>Result!Y96</f>
        <v>5.5</v>
      </c>
      <c r="R101" s="58">
        <f>Result!V96</f>
        <v>6</v>
      </c>
      <c r="S101" s="58"/>
      <c r="T101" s="58"/>
      <c r="U101" s="58"/>
      <c r="V101" s="58"/>
    </row>
    <row r="102" spans="1:22">
      <c r="A102" s="58">
        <v>97</v>
      </c>
      <c r="B102" s="58">
        <v>436</v>
      </c>
      <c r="C102" s="58" t="s">
        <v>226</v>
      </c>
      <c r="D102" s="58" t="s">
        <v>1372</v>
      </c>
      <c r="E102" s="58" t="s">
        <v>1214</v>
      </c>
      <c r="F102" s="58">
        <v>1982</v>
      </c>
      <c r="G102" s="58" t="s">
        <v>19</v>
      </c>
      <c r="H102" s="58" t="s">
        <v>227</v>
      </c>
      <c r="I102" s="58" t="s">
        <v>71</v>
      </c>
      <c r="J102" s="58">
        <v>35182000293</v>
      </c>
      <c r="K102" s="58" t="s">
        <v>377</v>
      </c>
      <c r="L102" s="62">
        <f>ROUNDUP(IF(A101&lt;=20, 18,IF(A101&lt;=40, 19,MIN(24, 19 + (A101-40)/20))),0)</f>
        <v>22</v>
      </c>
      <c r="M102" s="58"/>
      <c r="N102" s="58">
        <f>Result!W97</f>
        <v>0</v>
      </c>
      <c r="O102" s="58">
        <f>Result!Z97</f>
        <v>0</v>
      </c>
      <c r="P102" s="58">
        <f>Result!X97</f>
        <v>0</v>
      </c>
      <c r="Q102" s="58">
        <f>Result!Y97</f>
        <v>0</v>
      </c>
      <c r="R102" s="58">
        <f>Result!V97</f>
        <v>0</v>
      </c>
      <c r="S102" s="58"/>
      <c r="T102" s="58"/>
      <c r="U102" s="58"/>
      <c r="V102" s="58"/>
    </row>
    <row r="103" spans="1:22">
      <c r="A103" s="58">
        <v>98</v>
      </c>
      <c r="B103" s="58">
        <v>437</v>
      </c>
      <c r="C103" s="58" t="s">
        <v>228</v>
      </c>
      <c r="D103" s="58" t="s">
        <v>1176</v>
      </c>
      <c r="E103" s="58" t="s">
        <v>1216</v>
      </c>
      <c r="F103" s="58">
        <v>1987</v>
      </c>
      <c r="G103" s="58" t="s">
        <v>19</v>
      </c>
      <c r="H103" s="58" t="s">
        <v>229</v>
      </c>
      <c r="I103" s="58" t="s">
        <v>71</v>
      </c>
      <c r="J103" s="58">
        <v>1187022144</v>
      </c>
      <c r="K103" s="58" t="s">
        <v>654</v>
      </c>
      <c r="L103" s="62">
        <f>ROUNDUP(IF(A102&lt;=20, 18,IF(A102&lt;=40, 19,MIN(24, 19 + (A102-40)/20))),0)</f>
        <v>22</v>
      </c>
      <c r="M103" s="58"/>
      <c r="N103" s="58">
        <f>Result!W98</f>
        <v>0</v>
      </c>
      <c r="O103" s="58">
        <f>Result!Z98</f>
        <v>0</v>
      </c>
      <c r="P103" s="58">
        <f>Result!X98</f>
        <v>0</v>
      </c>
      <c r="Q103" s="58">
        <f>Result!Y98</f>
        <v>0</v>
      </c>
      <c r="R103" s="58">
        <f>Result!V98</f>
        <v>0</v>
      </c>
      <c r="S103" s="58"/>
      <c r="T103" s="58"/>
      <c r="U103" s="58"/>
      <c r="V103" s="58"/>
    </row>
    <row r="104" spans="1:22">
      <c r="A104" s="58">
        <v>99</v>
      </c>
      <c r="B104" s="58">
        <v>438</v>
      </c>
      <c r="C104" s="58" t="s">
        <v>230</v>
      </c>
      <c r="D104" s="58" t="s">
        <v>1177</v>
      </c>
      <c r="E104" s="58" t="s">
        <v>1278</v>
      </c>
      <c r="F104" s="58">
        <v>1980</v>
      </c>
      <c r="G104" s="58" t="s">
        <v>21</v>
      </c>
      <c r="H104" s="58" t="s">
        <v>34</v>
      </c>
      <c r="I104" s="58" t="s">
        <v>231</v>
      </c>
      <c r="J104" s="58" t="s">
        <v>1143</v>
      </c>
      <c r="K104" s="58" t="s">
        <v>1143</v>
      </c>
      <c r="L104" s="62">
        <f>ROUNDUP(IF(A103&lt;=20, 18,IF(A103&lt;=40, 19,MIN(24, 19 + (A103-40)/20))),0)</f>
        <v>22</v>
      </c>
      <c r="M104" s="58"/>
      <c r="N104" s="58">
        <f>Result!W99</f>
        <v>0</v>
      </c>
      <c r="O104" s="58">
        <f>Result!Z99</f>
        <v>0</v>
      </c>
      <c r="P104" s="58">
        <f>Result!X99</f>
        <v>0</v>
      </c>
      <c r="Q104" s="58">
        <f>Result!Y99</f>
        <v>0</v>
      </c>
      <c r="R104" s="58">
        <f>Result!V99</f>
        <v>0</v>
      </c>
      <c r="S104" s="58"/>
      <c r="T104" s="58"/>
      <c r="U104" s="58"/>
      <c r="V104" s="58"/>
    </row>
    <row r="105" spans="1:22">
      <c r="A105" s="58">
        <v>100</v>
      </c>
      <c r="B105" s="58">
        <v>439</v>
      </c>
      <c r="C105" s="58" t="s">
        <v>232</v>
      </c>
      <c r="D105" s="58" t="s">
        <v>1373</v>
      </c>
      <c r="E105" s="58" t="s">
        <v>1279</v>
      </c>
      <c r="F105" s="58">
        <v>1975</v>
      </c>
      <c r="G105" s="58" t="s">
        <v>21</v>
      </c>
      <c r="H105" s="58" t="s">
        <v>62</v>
      </c>
      <c r="I105" s="58" t="s">
        <v>61</v>
      </c>
      <c r="J105" s="58" t="s">
        <v>1143</v>
      </c>
      <c r="K105" s="58" t="s">
        <v>1143</v>
      </c>
      <c r="L105" s="62">
        <f>ROUNDUP(IF(A104&lt;=20, 18,IF(A104&lt;=40, 19,MIN(24, 19 + (A104-40)/20))),0)</f>
        <v>22</v>
      </c>
      <c r="M105" s="58"/>
      <c r="N105" s="58">
        <f>Result!W100</f>
        <v>0</v>
      </c>
      <c r="O105" s="58">
        <f>Result!Z100</f>
        <v>0</v>
      </c>
      <c r="P105" s="58">
        <f>Result!X100</f>
        <v>0</v>
      </c>
      <c r="Q105" s="58">
        <f>Result!Y100</f>
        <v>0</v>
      </c>
      <c r="R105" s="58">
        <f>Result!V100</f>
        <v>0</v>
      </c>
      <c r="S105" s="58"/>
      <c r="T105" s="58"/>
      <c r="U105" s="58"/>
      <c r="V105" s="58"/>
    </row>
    <row r="106" spans="1:22">
      <c r="A106" s="58">
        <v>101</v>
      </c>
      <c r="B106" s="58">
        <v>440</v>
      </c>
      <c r="C106" s="58" t="s">
        <v>233</v>
      </c>
      <c r="D106" s="58" t="s">
        <v>1121</v>
      </c>
      <c r="E106" s="58" t="s">
        <v>1280</v>
      </c>
      <c r="F106" s="58">
        <v>1980</v>
      </c>
      <c r="G106" s="58" t="s">
        <v>19</v>
      </c>
      <c r="H106" s="58" t="s">
        <v>234</v>
      </c>
      <c r="I106" s="58" t="s">
        <v>121</v>
      </c>
      <c r="J106" s="58">
        <v>1180020741</v>
      </c>
      <c r="K106" s="58" t="s">
        <v>377</v>
      </c>
      <c r="L106" s="62">
        <f>ROUNDUP(IF(A105&lt;=20, 18,IF(A105&lt;=40, 19,MIN(24, 19 + (A105-40)/20))),0)</f>
        <v>22</v>
      </c>
      <c r="M106" s="58"/>
      <c r="N106" s="58">
        <f>Result!W101</f>
        <v>4</v>
      </c>
      <c r="O106" s="58">
        <f>Result!Z101</f>
        <v>5.5</v>
      </c>
      <c r="P106" s="58">
        <f>Result!X101</f>
        <v>4.5</v>
      </c>
      <c r="Q106" s="58">
        <f>Result!Y101</f>
        <v>6</v>
      </c>
      <c r="R106" s="58">
        <f>Result!V101</f>
        <v>5</v>
      </c>
      <c r="S106" s="58"/>
      <c r="T106" s="58"/>
      <c r="U106" s="58"/>
      <c r="V106" s="58"/>
    </row>
    <row r="107" spans="1:22">
      <c r="A107" s="58">
        <v>102</v>
      </c>
      <c r="B107" s="58">
        <v>441</v>
      </c>
      <c r="C107" s="58" t="s">
        <v>218</v>
      </c>
      <c r="D107" s="58" t="s">
        <v>1063</v>
      </c>
      <c r="E107" s="58" t="s">
        <v>1247</v>
      </c>
      <c r="F107" s="58">
        <v>1991</v>
      </c>
      <c r="G107" s="58" t="s">
        <v>19</v>
      </c>
      <c r="H107" s="58" t="s">
        <v>235</v>
      </c>
      <c r="I107" s="58" t="s">
        <v>100</v>
      </c>
      <c r="J107" s="58" t="s">
        <v>440</v>
      </c>
      <c r="K107" s="58" t="s">
        <v>327</v>
      </c>
      <c r="L107" s="62">
        <f>ROUNDUP(IF(A106&lt;=20, 18,IF(A106&lt;=40, 19,MIN(24, 19 + (A106-40)/20))),0)</f>
        <v>23</v>
      </c>
      <c r="M107" s="58"/>
      <c r="N107" s="58">
        <f>Result!W102</f>
        <v>0</v>
      </c>
      <c r="O107" s="58">
        <f>Result!Z102</f>
        <v>0</v>
      </c>
      <c r="P107" s="58">
        <f>Result!X102</f>
        <v>0</v>
      </c>
      <c r="Q107" s="58">
        <f>Result!Y102</f>
        <v>0</v>
      </c>
      <c r="R107" s="58">
        <f>Result!V102</f>
        <v>0</v>
      </c>
      <c r="S107" s="58"/>
      <c r="T107" s="58"/>
      <c r="U107" s="58"/>
      <c r="V107" s="58"/>
    </row>
    <row r="108" spans="1:22">
      <c r="A108" s="58">
        <v>103</v>
      </c>
      <c r="B108" s="58">
        <v>442</v>
      </c>
      <c r="C108" s="58" t="s">
        <v>236</v>
      </c>
      <c r="D108" s="58" t="s">
        <v>1131</v>
      </c>
      <c r="E108" s="58" t="s">
        <v>1281</v>
      </c>
      <c r="F108" s="58">
        <v>1981</v>
      </c>
      <c r="G108" s="58" t="s">
        <v>21</v>
      </c>
      <c r="H108" s="58" t="s">
        <v>66</v>
      </c>
      <c r="I108" s="58" t="s">
        <v>121</v>
      </c>
      <c r="J108" s="58" t="s">
        <v>332</v>
      </c>
      <c r="K108" s="58" t="s">
        <v>327</v>
      </c>
      <c r="L108" s="62">
        <f>ROUNDUP(IF(A107&lt;=20, 18,IF(A107&lt;=40, 19,MIN(24, 19 + (A107-40)/20))),0)</f>
        <v>23</v>
      </c>
      <c r="M108" s="58"/>
      <c r="N108" s="58">
        <f>Result!W103</f>
        <v>4</v>
      </c>
      <c r="O108" s="58">
        <f>Result!Z103</f>
        <v>5</v>
      </c>
      <c r="P108" s="58">
        <f>Result!X103</f>
        <v>5.5</v>
      </c>
      <c r="Q108" s="58">
        <f>Result!Y103</f>
        <v>6</v>
      </c>
      <c r="R108" s="58">
        <f>Result!V103</f>
        <v>5</v>
      </c>
      <c r="S108" s="58"/>
      <c r="T108" s="58"/>
      <c r="U108" s="58"/>
      <c r="V108" s="58"/>
    </row>
    <row r="109" spans="1:22">
      <c r="A109" s="58">
        <v>104</v>
      </c>
      <c r="B109" s="58">
        <v>443</v>
      </c>
      <c r="C109" s="58" t="s">
        <v>237</v>
      </c>
      <c r="D109" s="58" t="s">
        <v>1130</v>
      </c>
      <c r="E109" s="58" t="s">
        <v>1261</v>
      </c>
      <c r="F109" s="58">
        <v>1984</v>
      </c>
      <c r="G109" s="58" t="s">
        <v>21</v>
      </c>
      <c r="H109" s="58" t="s">
        <v>238</v>
      </c>
      <c r="I109" s="58" t="s">
        <v>121</v>
      </c>
      <c r="J109" s="58" t="s">
        <v>345</v>
      </c>
      <c r="K109" s="58" t="s">
        <v>327</v>
      </c>
      <c r="L109" s="62">
        <f>ROUNDUP(IF(A108&lt;=20, 18,IF(A108&lt;=40, 19,MIN(24, 19 + (A108-40)/20))),0)</f>
        <v>23</v>
      </c>
      <c r="M109" s="58"/>
      <c r="N109" s="58">
        <f>Result!W104</f>
        <v>5.5</v>
      </c>
      <c r="O109" s="58">
        <f>Result!Z104</f>
        <v>6</v>
      </c>
      <c r="P109" s="58">
        <f>Result!X104</f>
        <v>6.5</v>
      </c>
      <c r="Q109" s="58">
        <f>Result!Y104</f>
        <v>6.5</v>
      </c>
      <c r="R109" s="58">
        <f>Result!V104</f>
        <v>6</v>
      </c>
      <c r="S109" s="58"/>
      <c r="T109" s="58"/>
      <c r="U109" s="58"/>
      <c r="V109" s="58"/>
    </row>
    <row r="110" spans="1:22">
      <c r="A110" s="58">
        <v>105</v>
      </c>
      <c r="B110" s="58">
        <v>444</v>
      </c>
      <c r="C110" s="58" t="s">
        <v>239</v>
      </c>
      <c r="D110" s="58" t="s">
        <v>1128</v>
      </c>
      <c r="E110" s="58" t="s">
        <v>1266</v>
      </c>
      <c r="F110" s="58">
        <v>1976</v>
      </c>
      <c r="G110" s="58" t="s">
        <v>21</v>
      </c>
      <c r="H110" s="58" t="s">
        <v>140</v>
      </c>
      <c r="I110" s="58" t="s">
        <v>61</v>
      </c>
      <c r="J110" s="58" t="s">
        <v>569</v>
      </c>
      <c r="K110" s="58" t="s">
        <v>327</v>
      </c>
      <c r="L110" s="62">
        <f>ROUNDUP(IF(A109&lt;=20, 18,IF(A109&lt;=40, 19,MIN(24, 19 + (A109-40)/20))),0)</f>
        <v>23</v>
      </c>
      <c r="M110" s="58"/>
      <c r="N110" s="58">
        <f>Result!W105</f>
        <v>5</v>
      </c>
      <c r="O110" s="58">
        <f>Result!Z105</f>
        <v>5</v>
      </c>
      <c r="P110" s="58">
        <f>Result!X105</f>
        <v>6</v>
      </c>
      <c r="Q110" s="58">
        <f>Result!Y105</f>
        <v>6</v>
      </c>
      <c r="R110" s="58">
        <f>Result!V105</f>
        <v>5.5</v>
      </c>
      <c r="S110" s="58"/>
      <c r="T110" s="58"/>
      <c r="U110" s="58"/>
      <c r="V110" s="58"/>
    </row>
    <row r="111" spans="1:22">
      <c r="A111" s="58">
        <v>106</v>
      </c>
      <c r="B111" s="58">
        <v>445</v>
      </c>
      <c r="C111" s="58" t="s">
        <v>193</v>
      </c>
      <c r="D111" s="58" t="s">
        <v>1053</v>
      </c>
      <c r="E111" s="58" t="s">
        <v>1271</v>
      </c>
      <c r="F111" s="58">
        <v>1984</v>
      </c>
      <c r="G111" s="58" t="s">
        <v>19</v>
      </c>
      <c r="H111" s="58" t="s">
        <v>240</v>
      </c>
      <c r="I111" s="58" t="s">
        <v>121</v>
      </c>
      <c r="J111" s="58" t="s">
        <v>422</v>
      </c>
      <c r="K111" s="58" t="s">
        <v>315</v>
      </c>
      <c r="L111" s="62">
        <f>ROUNDUP(IF(A110&lt;=20, 18,IF(A110&lt;=40, 19,MIN(24, 19 + (A110-40)/20))),0)</f>
        <v>23</v>
      </c>
      <c r="M111" s="58"/>
      <c r="N111" s="58">
        <f>Result!W106</f>
        <v>0</v>
      </c>
      <c r="O111" s="58">
        <f>Result!Z106</f>
        <v>0</v>
      </c>
      <c r="P111" s="58">
        <f>Result!X106</f>
        <v>0</v>
      </c>
      <c r="Q111" s="58">
        <f>Result!Y106</f>
        <v>0</v>
      </c>
      <c r="R111" s="58">
        <f>Result!V106</f>
        <v>0</v>
      </c>
      <c r="S111" s="58"/>
      <c r="T111" s="58"/>
      <c r="U111" s="58"/>
      <c r="V111" s="58"/>
    </row>
    <row r="112" spans="1:22">
      <c r="A112" s="58">
        <v>107</v>
      </c>
      <c r="B112" s="58">
        <v>446</v>
      </c>
      <c r="C112" s="58" t="s">
        <v>241</v>
      </c>
      <c r="D112" s="58" t="s">
        <v>1179</v>
      </c>
      <c r="E112" s="58" t="s">
        <v>1264</v>
      </c>
      <c r="F112" s="58">
        <v>2000</v>
      </c>
      <c r="G112" s="58" t="s">
        <v>21</v>
      </c>
      <c r="H112" s="58" t="s">
        <v>242</v>
      </c>
      <c r="I112" s="58" t="s">
        <v>243</v>
      </c>
      <c r="J112" s="58" t="s">
        <v>391</v>
      </c>
      <c r="K112" s="58" t="s">
        <v>315</v>
      </c>
      <c r="L112" s="62">
        <f>ROUNDUP(IF(A111&lt;=20, 18,IF(A111&lt;=40, 19,MIN(24, 19 + (A111-40)/20))),0)</f>
        <v>23</v>
      </c>
      <c r="M112" s="58"/>
      <c r="N112" s="58">
        <f>Result!W107</f>
        <v>0</v>
      </c>
      <c r="O112" s="58">
        <f>Result!Z107</f>
        <v>0</v>
      </c>
      <c r="P112" s="58">
        <f>Result!X107</f>
        <v>0</v>
      </c>
      <c r="Q112" s="58">
        <f>Result!Y107</f>
        <v>0</v>
      </c>
      <c r="R112" s="58">
        <f>Result!V107</f>
        <v>0</v>
      </c>
      <c r="S112" s="58"/>
      <c r="T112" s="58"/>
      <c r="U112" s="58"/>
      <c r="V112" s="58"/>
    </row>
    <row r="113" spans="1:22">
      <c r="A113" s="58">
        <v>108</v>
      </c>
      <c r="B113" s="58">
        <v>447</v>
      </c>
      <c r="C113" s="58" t="s">
        <v>244</v>
      </c>
      <c r="D113" s="58" t="s">
        <v>1180</v>
      </c>
      <c r="E113" s="58" t="s">
        <v>1282</v>
      </c>
      <c r="F113" s="58">
        <v>1983</v>
      </c>
      <c r="G113" s="58" t="s">
        <v>21</v>
      </c>
      <c r="H113" s="58" t="s">
        <v>245</v>
      </c>
      <c r="I113" s="58" t="s">
        <v>71</v>
      </c>
      <c r="J113" s="58" t="s">
        <v>374</v>
      </c>
      <c r="K113" s="58" t="s">
        <v>315</v>
      </c>
      <c r="L113" s="62">
        <f>ROUNDUP(IF(A112&lt;=20, 18,IF(A112&lt;=40, 19,MIN(24, 19 + (A112-40)/20))),0)</f>
        <v>23</v>
      </c>
      <c r="M113" s="58"/>
      <c r="N113" s="58">
        <f>Result!W108</f>
        <v>0</v>
      </c>
      <c r="O113" s="58">
        <f>Result!Z108</f>
        <v>0</v>
      </c>
      <c r="P113" s="58">
        <f>Result!X108</f>
        <v>0</v>
      </c>
      <c r="Q113" s="58">
        <f>Result!Y108</f>
        <v>0</v>
      </c>
      <c r="R113" s="58">
        <f>Result!V108</f>
        <v>0</v>
      </c>
      <c r="S113" s="58"/>
      <c r="T113" s="58"/>
      <c r="U113" s="58"/>
      <c r="V113" s="58"/>
    </row>
    <row r="114" spans="1:22">
      <c r="A114" s="58">
        <v>109</v>
      </c>
      <c r="B114" s="58">
        <v>448</v>
      </c>
      <c r="C114" s="58" t="s">
        <v>246</v>
      </c>
      <c r="D114" s="58" t="s">
        <v>1129</v>
      </c>
      <c r="E114" s="58" t="s">
        <v>1271</v>
      </c>
      <c r="F114" s="58">
        <v>1978</v>
      </c>
      <c r="G114" s="58" t="s">
        <v>21</v>
      </c>
      <c r="H114" s="58" t="s">
        <v>143</v>
      </c>
      <c r="I114" s="58" t="s">
        <v>27</v>
      </c>
      <c r="J114" s="58" t="s">
        <v>457</v>
      </c>
      <c r="K114" s="58" t="s">
        <v>315</v>
      </c>
      <c r="L114" s="62">
        <f>ROUNDUP(IF(A113&lt;=20, 18,IF(A113&lt;=40, 19,MIN(24, 19 + (A113-40)/20))),0)</f>
        <v>23</v>
      </c>
      <c r="M114" s="58"/>
      <c r="N114" s="58">
        <f>Result!W109</f>
        <v>4.5</v>
      </c>
      <c r="O114" s="58">
        <f>Result!Z109</f>
        <v>5.5</v>
      </c>
      <c r="P114" s="58">
        <f>Result!X109</f>
        <v>4.5</v>
      </c>
      <c r="Q114" s="58">
        <f>Result!Y109</f>
        <v>6.5</v>
      </c>
      <c r="R114" s="58">
        <f>Result!V109</f>
        <v>5.5</v>
      </c>
      <c r="S114" s="58"/>
      <c r="T114" s="58"/>
      <c r="U114" s="58"/>
      <c r="V114" s="58"/>
    </row>
    <row r="115" spans="1:22">
      <c r="A115" s="58">
        <v>110</v>
      </c>
      <c r="B115" s="58">
        <v>449</v>
      </c>
      <c r="C115" s="58" t="s">
        <v>36</v>
      </c>
      <c r="D115" s="58" t="s">
        <v>1181</v>
      </c>
      <c r="E115" s="58" t="s">
        <v>1283</v>
      </c>
      <c r="F115" s="58">
        <v>1995</v>
      </c>
      <c r="G115" s="58" t="s">
        <v>30</v>
      </c>
      <c r="H115" s="58" t="s">
        <v>151</v>
      </c>
      <c r="I115" s="58" t="s">
        <v>81</v>
      </c>
      <c r="J115" s="58" t="s">
        <v>796</v>
      </c>
      <c r="K115" s="58" t="s">
        <v>654</v>
      </c>
      <c r="L115" s="62">
        <f>ROUNDUP(IF(A114&lt;=20, 18,IF(A114&lt;=40, 19,MIN(24, 19 + (A114-40)/20))),0)</f>
        <v>23</v>
      </c>
      <c r="M115" s="58"/>
      <c r="N115" s="58">
        <f>Result!W110</f>
        <v>0</v>
      </c>
      <c r="O115" s="58">
        <f>Result!Z110</f>
        <v>0</v>
      </c>
      <c r="P115" s="58">
        <f>Result!X110</f>
        <v>0</v>
      </c>
      <c r="Q115" s="58">
        <f>Result!Y110</f>
        <v>0</v>
      </c>
      <c r="R115" s="58">
        <f>Result!V110</f>
        <v>0</v>
      </c>
      <c r="S115" s="58"/>
      <c r="T115" s="58"/>
      <c r="U115" s="58"/>
      <c r="V115" s="58"/>
    </row>
    <row r="116" spans="1:22">
      <c r="A116" s="58">
        <v>111</v>
      </c>
      <c r="B116" s="58">
        <v>450</v>
      </c>
      <c r="C116" s="58" t="s">
        <v>247</v>
      </c>
      <c r="D116" s="58" t="s">
        <v>1182</v>
      </c>
      <c r="E116" s="58" t="s">
        <v>1272</v>
      </c>
      <c r="F116" s="58">
        <v>1985</v>
      </c>
      <c r="G116" s="58" t="s">
        <v>30</v>
      </c>
      <c r="H116" s="58" t="s">
        <v>148</v>
      </c>
      <c r="I116" s="58" t="s">
        <v>149</v>
      </c>
      <c r="J116" s="58" t="s">
        <v>801</v>
      </c>
      <c r="K116" s="58" t="s">
        <v>327</v>
      </c>
      <c r="L116" s="62">
        <f>ROUNDUP(IF(A115&lt;=20, 18,IF(A115&lt;=40, 19,MIN(24, 19 + (A115-40)/20))),0)</f>
        <v>23</v>
      </c>
      <c r="M116" s="58"/>
      <c r="N116" s="58">
        <f>Result!W111</f>
        <v>0</v>
      </c>
      <c r="O116" s="58">
        <f>Result!Z111</f>
        <v>0</v>
      </c>
      <c r="P116" s="58">
        <f>Result!X111</f>
        <v>0</v>
      </c>
      <c r="Q116" s="58">
        <f>Result!Y111</f>
        <v>0</v>
      </c>
      <c r="R116" s="58">
        <f>Result!V111</f>
        <v>0</v>
      </c>
      <c r="S116" s="58"/>
      <c r="T116" s="58"/>
      <c r="U116" s="58"/>
      <c r="V116" s="58"/>
    </row>
    <row r="117" spans="1:22">
      <c r="A117" s="58">
        <v>112</v>
      </c>
      <c r="B117" s="58">
        <v>451</v>
      </c>
      <c r="C117" s="58" t="s">
        <v>248</v>
      </c>
      <c r="D117" s="58" t="s">
        <v>1081</v>
      </c>
      <c r="E117" s="58" t="s">
        <v>1243</v>
      </c>
      <c r="F117" s="58">
        <v>1983</v>
      </c>
      <c r="G117" s="58" t="s">
        <v>30</v>
      </c>
      <c r="H117" s="58" t="s">
        <v>148</v>
      </c>
      <c r="I117" s="58" t="s">
        <v>149</v>
      </c>
      <c r="J117" s="58" t="s">
        <v>837</v>
      </c>
      <c r="K117" s="58" t="s">
        <v>654</v>
      </c>
      <c r="L117" s="62">
        <f>ROUNDUP(IF(A116&lt;=20, 18,IF(A116&lt;=40, 19,MIN(24, 19 + (A116-40)/20))),0)</f>
        <v>23</v>
      </c>
      <c r="M117" s="58"/>
      <c r="N117" s="58">
        <f>Result!W112</f>
        <v>0</v>
      </c>
      <c r="O117" s="58">
        <f>Result!Z112</f>
        <v>0</v>
      </c>
      <c r="P117" s="58">
        <f>Result!X112</f>
        <v>0</v>
      </c>
      <c r="Q117" s="58">
        <f>Result!Y112</f>
        <v>0</v>
      </c>
      <c r="R117" s="58">
        <f>Result!V112</f>
        <v>0</v>
      </c>
      <c r="S117" s="58"/>
      <c r="T117" s="58"/>
      <c r="U117" s="58"/>
      <c r="V117" s="58"/>
    </row>
    <row r="118" spans="1:22">
      <c r="A118" s="58">
        <v>113</v>
      </c>
      <c r="B118" s="58">
        <v>452</v>
      </c>
      <c r="C118" s="58" t="s">
        <v>249</v>
      </c>
      <c r="D118" s="58" t="s">
        <v>1080</v>
      </c>
      <c r="E118" s="58" t="s">
        <v>1284</v>
      </c>
      <c r="F118" s="58">
        <v>1982</v>
      </c>
      <c r="G118" s="58" t="s">
        <v>30</v>
      </c>
      <c r="H118" s="58" t="s">
        <v>153</v>
      </c>
      <c r="I118" s="58" t="s">
        <v>76</v>
      </c>
      <c r="J118" s="58" t="s">
        <v>872</v>
      </c>
      <c r="K118" s="58" t="s">
        <v>654</v>
      </c>
      <c r="L118" s="62">
        <f>ROUNDUP(IF(A117&lt;=20, 18,IF(A117&lt;=40, 19,MIN(24, 19 + (A117-40)/20))),0)</f>
        <v>23</v>
      </c>
      <c r="M118" s="58"/>
      <c r="N118" s="58">
        <f>Result!W113</f>
        <v>0</v>
      </c>
      <c r="O118" s="58">
        <f>Result!Z113</f>
        <v>0</v>
      </c>
      <c r="P118" s="58">
        <f>Result!X113</f>
        <v>0</v>
      </c>
      <c r="Q118" s="58">
        <f>Result!Y113</f>
        <v>0</v>
      </c>
      <c r="R118" s="58">
        <f>Result!V113</f>
        <v>0</v>
      </c>
      <c r="S118" s="58"/>
      <c r="T118" s="58"/>
      <c r="U118" s="58"/>
      <c r="V118" s="58"/>
    </row>
    <row r="119" spans="1:22">
      <c r="A119" s="58">
        <v>114</v>
      </c>
      <c r="B119" s="58">
        <v>453</v>
      </c>
      <c r="C119" s="58" t="s">
        <v>250</v>
      </c>
      <c r="D119" s="58" t="s">
        <v>1127</v>
      </c>
      <c r="E119" s="58" t="s">
        <v>1226</v>
      </c>
      <c r="F119" s="58">
        <v>1979</v>
      </c>
      <c r="G119" s="58" t="s">
        <v>30</v>
      </c>
      <c r="H119" s="58" t="s">
        <v>153</v>
      </c>
      <c r="I119" s="58" t="s">
        <v>76</v>
      </c>
      <c r="J119" s="58" t="s">
        <v>883</v>
      </c>
      <c r="K119" s="58" t="s">
        <v>377</v>
      </c>
      <c r="L119" s="62">
        <f>ROUNDUP(IF(A118&lt;=20, 18,IF(A118&lt;=40, 19,MIN(24, 19 + (A118-40)/20))),0)</f>
        <v>23</v>
      </c>
      <c r="M119" s="58"/>
      <c r="N119" s="58">
        <f>Result!W114</f>
        <v>3.5</v>
      </c>
      <c r="O119" s="58">
        <f>Result!Z114</f>
        <v>5.5</v>
      </c>
      <c r="P119" s="58">
        <f>Result!X114</f>
        <v>6</v>
      </c>
      <c r="Q119" s="58">
        <f>Result!Y114</f>
        <v>5</v>
      </c>
      <c r="R119" s="58">
        <f>Result!V114</f>
        <v>5</v>
      </c>
      <c r="S119" s="58"/>
      <c r="T119" s="58"/>
      <c r="U119" s="58"/>
      <c r="V119" s="58"/>
    </row>
    <row r="120" spans="1:22">
      <c r="A120" s="58">
        <v>115</v>
      </c>
      <c r="B120" s="58">
        <v>454</v>
      </c>
      <c r="C120" s="58" t="s">
        <v>251</v>
      </c>
      <c r="D120" s="58" t="s">
        <v>1124</v>
      </c>
      <c r="E120" s="58" t="s">
        <v>1285</v>
      </c>
      <c r="F120" s="58">
        <v>1978</v>
      </c>
      <c r="G120" s="58" t="s">
        <v>30</v>
      </c>
      <c r="H120" s="58" t="s">
        <v>151</v>
      </c>
      <c r="I120" s="58" t="s">
        <v>81</v>
      </c>
      <c r="J120" s="58" t="s">
        <v>983</v>
      </c>
      <c r="K120" s="58" t="s">
        <v>327</v>
      </c>
      <c r="L120" s="62">
        <f>ROUNDUP(IF(A119&lt;=20, 18,IF(A119&lt;=40, 19,MIN(24, 19 + (A119-40)/20))),0)</f>
        <v>23</v>
      </c>
      <c r="M120" s="58"/>
      <c r="N120" s="58">
        <f>Result!W115</f>
        <v>5</v>
      </c>
      <c r="O120" s="58">
        <f>Result!Z115</f>
        <v>5</v>
      </c>
      <c r="P120" s="58">
        <f>Result!X115</f>
        <v>5.5</v>
      </c>
      <c r="Q120" s="58">
        <f>Result!Y115</f>
        <v>6</v>
      </c>
      <c r="R120" s="58">
        <f>Result!V115</f>
        <v>5.5</v>
      </c>
      <c r="S120" s="58"/>
      <c r="T120" s="58"/>
      <c r="U120" s="58"/>
      <c r="V120" s="58"/>
    </row>
    <row r="121" spans="1:22">
      <c r="A121" s="58">
        <v>116</v>
      </c>
      <c r="B121" s="58">
        <v>455</v>
      </c>
      <c r="C121" s="58" t="s">
        <v>252</v>
      </c>
      <c r="D121" s="58" t="s">
        <v>1125</v>
      </c>
      <c r="E121" s="58" t="s">
        <v>1246</v>
      </c>
      <c r="F121" s="58">
        <v>1976</v>
      </c>
      <c r="G121" s="58" t="s">
        <v>30</v>
      </c>
      <c r="H121" s="58" t="s">
        <v>151</v>
      </c>
      <c r="I121" s="58" t="s">
        <v>81</v>
      </c>
      <c r="J121" s="58" t="s">
        <v>1213</v>
      </c>
      <c r="K121" s="58" t="s">
        <v>327</v>
      </c>
      <c r="L121" s="62">
        <f>ROUNDUP(IF(A120&lt;=20, 18,IF(A120&lt;=40, 19,MIN(24, 19 + (A120-40)/20))),0)</f>
        <v>23</v>
      </c>
      <c r="M121" s="58"/>
      <c r="N121" s="58">
        <f>Result!W116</f>
        <v>5.5</v>
      </c>
      <c r="O121" s="58">
        <f>Result!Z116</f>
        <v>6</v>
      </c>
      <c r="P121" s="58">
        <f>Result!X116</f>
        <v>6.5</v>
      </c>
      <c r="Q121" s="58">
        <f>Result!Y116</f>
        <v>7</v>
      </c>
      <c r="R121" s="58">
        <f>Result!V116</f>
        <v>6.5</v>
      </c>
      <c r="S121" s="58"/>
      <c r="T121" s="58"/>
      <c r="U121" s="58"/>
      <c r="V121" s="58"/>
    </row>
    <row r="122" spans="1:22">
      <c r="A122" s="58">
        <v>117</v>
      </c>
      <c r="B122" s="58">
        <v>456</v>
      </c>
      <c r="C122" s="58" t="s">
        <v>253</v>
      </c>
      <c r="D122" s="58" t="s">
        <v>1126</v>
      </c>
      <c r="E122" s="58" t="s">
        <v>1254</v>
      </c>
      <c r="F122" s="58">
        <v>1976</v>
      </c>
      <c r="G122" s="58" t="s">
        <v>30</v>
      </c>
      <c r="H122" s="58" t="s">
        <v>153</v>
      </c>
      <c r="I122" s="58" t="s">
        <v>76</v>
      </c>
      <c r="J122" s="58" t="s">
        <v>1002</v>
      </c>
      <c r="K122" s="58" t="s">
        <v>394</v>
      </c>
      <c r="L122" s="62">
        <f>ROUNDUP(IF(A121&lt;=20, 18,IF(A121&lt;=40, 19,MIN(24, 19 + (A121-40)/20))),0)</f>
        <v>23</v>
      </c>
      <c r="M122" s="58"/>
      <c r="N122" s="58">
        <f>Result!W117</f>
        <v>3.5</v>
      </c>
      <c r="O122" s="58">
        <f>Result!Z117</f>
        <v>5.5</v>
      </c>
      <c r="P122" s="58">
        <f>Result!X117</f>
        <v>5.5</v>
      </c>
      <c r="Q122" s="58">
        <f>Result!Y117</f>
        <v>6</v>
      </c>
      <c r="R122" s="58">
        <f>Result!V117</f>
        <v>5</v>
      </c>
      <c r="S122" s="58"/>
      <c r="T122" s="58"/>
      <c r="U122" s="58"/>
      <c r="V122" s="58"/>
    </row>
    <row r="123" spans="1:22">
      <c r="A123" s="58">
        <v>118</v>
      </c>
      <c r="B123" s="58">
        <v>457</v>
      </c>
      <c r="C123" s="58" t="s">
        <v>254</v>
      </c>
      <c r="D123" s="58" t="s">
        <v>1183</v>
      </c>
      <c r="E123" s="58" t="s">
        <v>1224</v>
      </c>
      <c r="F123" s="58">
        <v>1975</v>
      </c>
      <c r="G123" s="58" t="s">
        <v>30</v>
      </c>
      <c r="H123" s="58" t="s">
        <v>255</v>
      </c>
      <c r="I123" s="58" t="s">
        <v>81</v>
      </c>
      <c r="J123" s="58">
        <v>1175028245</v>
      </c>
      <c r="K123" s="58" t="s">
        <v>1190</v>
      </c>
      <c r="L123" s="62">
        <f>ROUNDUP(IF(A122&lt;=20, 18,IF(A122&lt;=40, 19,MIN(24, 19 + (A122-40)/20))),0)</f>
        <v>23</v>
      </c>
      <c r="M123" s="58"/>
      <c r="N123" s="58">
        <f>Result!W118</f>
        <v>0</v>
      </c>
      <c r="O123" s="58">
        <f>Result!Z118</f>
        <v>0</v>
      </c>
      <c r="P123" s="58">
        <f>Result!X118</f>
        <v>0</v>
      </c>
      <c r="Q123" s="58">
        <f>Result!Y118</f>
        <v>0</v>
      </c>
      <c r="R123" s="58">
        <f>Result!V118</f>
        <v>0</v>
      </c>
      <c r="S123" s="58"/>
      <c r="T123" s="58"/>
      <c r="U123" s="58"/>
      <c r="V123" s="58"/>
    </row>
    <row r="124" spans="1:22">
      <c r="A124" s="58">
        <v>119</v>
      </c>
      <c r="B124" s="58">
        <v>458</v>
      </c>
      <c r="C124" s="58" t="s">
        <v>256</v>
      </c>
      <c r="D124" s="58" t="s">
        <v>1082</v>
      </c>
      <c r="E124" s="58" t="s">
        <v>1286</v>
      </c>
      <c r="F124" s="58">
        <v>1995</v>
      </c>
      <c r="G124" s="58" t="s">
        <v>21</v>
      </c>
      <c r="H124" s="58" t="s">
        <v>257</v>
      </c>
      <c r="I124" s="58" t="s">
        <v>157</v>
      </c>
      <c r="J124" s="58">
        <v>1195004906</v>
      </c>
      <c r="K124" s="58" t="s">
        <v>394</v>
      </c>
      <c r="L124" s="62">
        <f>ROUNDUP(IF(A123&lt;=20, 18,IF(A123&lt;=40, 19,MIN(24, 19 + (A123-40)/20))),0)</f>
        <v>23</v>
      </c>
      <c r="M124" s="58"/>
      <c r="N124" s="58">
        <f>Result!W119</f>
        <v>0</v>
      </c>
      <c r="O124" s="58">
        <f>Result!Z119</f>
        <v>0</v>
      </c>
      <c r="P124" s="58">
        <f>Result!X119</f>
        <v>0</v>
      </c>
      <c r="Q124" s="58">
        <f>Result!Y119</f>
        <v>0</v>
      </c>
      <c r="R124" s="58">
        <f>Result!V119</f>
        <v>0</v>
      </c>
      <c r="S124" s="58"/>
      <c r="T124" s="58"/>
      <c r="U124" s="58"/>
      <c r="V124" s="58"/>
    </row>
    <row r="125" spans="1:22">
      <c r="A125" s="58">
        <v>120</v>
      </c>
      <c r="B125" s="58">
        <v>459</v>
      </c>
      <c r="C125" s="58" t="s">
        <v>176</v>
      </c>
      <c r="D125" s="58" t="s">
        <v>1160</v>
      </c>
      <c r="E125" s="58" t="s">
        <v>1244</v>
      </c>
      <c r="F125" s="58">
        <v>1975</v>
      </c>
      <c r="G125" s="58" t="s">
        <v>21</v>
      </c>
      <c r="H125" s="58" t="s">
        <v>258</v>
      </c>
      <c r="I125" s="58" t="s">
        <v>157</v>
      </c>
      <c r="J125" s="58" t="s">
        <v>1143</v>
      </c>
      <c r="K125" s="58" t="s">
        <v>1143</v>
      </c>
      <c r="L125" s="62">
        <f>ROUNDUP(IF(A124&lt;=20, 18,IF(A124&lt;=40, 19,MIN(24, 19 + (A124-40)/20))),0)</f>
        <v>23</v>
      </c>
      <c r="M125" s="58"/>
      <c r="N125" s="58">
        <f>Result!W120</f>
        <v>0</v>
      </c>
      <c r="O125" s="58">
        <f>Result!Z120</f>
        <v>0</v>
      </c>
      <c r="P125" s="58">
        <f>Result!X120</f>
        <v>0</v>
      </c>
      <c r="Q125" s="58">
        <f>Result!Y120</f>
        <v>0</v>
      </c>
      <c r="R125" s="58">
        <f>Result!V120</f>
        <v>0</v>
      </c>
      <c r="S125" s="58"/>
      <c r="T125" s="58"/>
      <c r="U125" s="58"/>
      <c r="V125" s="58"/>
    </row>
    <row r="126" spans="1:22">
      <c r="A126" s="58">
        <v>121</v>
      </c>
      <c r="B126" s="58">
        <v>460</v>
      </c>
      <c r="C126" s="58" t="s">
        <v>259</v>
      </c>
      <c r="D126" s="58" t="s">
        <v>1058</v>
      </c>
      <c r="E126" s="58" t="s">
        <v>1227</v>
      </c>
      <c r="F126" s="58">
        <v>1983</v>
      </c>
      <c r="G126" s="58" t="s">
        <v>19</v>
      </c>
      <c r="H126" s="58" t="s">
        <v>260</v>
      </c>
      <c r="I126" s="58" t="s">
        <v>261</v>
      </c>
      <c r="J126" s="58">
        <v>1183053186</v>
      </c>
      <c r="K126" s="58" t="s">
        <v>654</v>
      </c>
      <c r="L126" s="62">
        <f>ROUNDUP(IF(A125&lt;=20, 18,IF(A125&lt;=40, 19,MIN(24, 19 + (A125-40)/20))),0)</f>
        <v>23</v>
      </c>
      <c r="M126" s="58"/>
      <c r="N126" s="58">
        <f>Result!W121</f>
        <v>0</v>
      </c>
      <c r="O126" s="58">
        <f>Result!Z121</f>
        <v>0</v>
      </c>
      <c r="P126" s="58">
        <f>Result!X121</f>
        <v>0</v>
      </c>
      <c r="Q126" s="58">
        <f>Result!Y121</f>
        <v>0</v>
      </c>
      <c r="R126" s="58">
        <f>Result!V121</f>
        <v>0</v>
      </c>
      <c r="S126" s="58"/>
      <c r="T126" s="58"/>
      <c r="U126" s="58"/>
      <c r="V126" s="58"/>
    </row>
    <row r="127" spans="1:22">
      <c r="A127" s="58">
        <v>122</v>
      </c>
      <c r="B127" s="58">
        <v>482</v>
      </c>
      <c r="C127" s="58" t="s">
        <v>262</v>
      </c>
      <c r="D127" s="58" t="s">
        <v>1099</v>
      </c>
      <c r="E127" s="58" t="s">
        <v>1246</v>
      </c>
      <c r="F127" s="58">
        <v>1984</v>
      </c>
      <c r="G127" s="58" t="s">
        <v>30</v>
      </c>
      <c r="H127" s="58" t="s">
        <v>113</v>
      </c>
      <c r="I127" s="58" t="s">
        <v>114</v>
      </c>
      <c r="J127" s="58" t="s">
        <v>362</v>
      </c>
      <c r="K127" s="58" t="s">
        <v>358</v>
      </c>
      <c r="L127" s="62">
        <f>ROUNDUP(IF(A126&lt;=20, 18,IF(A126&lt;=40, 19,MIN(24, 19 + (A126-40)/20))),0)</f>
        <v>24</v>
      </c>
      <c r="M127" s="58"/>
      <c r="N127" s="58">
        <f>Result!W122</f>
        <v>5</v>
      </c>
      <c r="O127" s="58">
        <f>Result!Z122</f>
        <v>6</v>
      </c>
      <c r="P127" s="58">
        <f>Result!X122</f>
        <v>6</v>
      </c>
      <c r="Q127" s="58">
        <f>Result!Y122</f>
        <v>6</v>
      </c>
      <c r="R127" s="58">
        <f>Result!V122</f>
        <v>6</v>
      </c>
      <c r="S127" s="58"/>
      <c r="T127" s="58"/>
      <c r="U127" s="58"/>
      <c r="V127" s="58"/>
    </row>
    <row r="128" spans="1:22">
      <c r="A128" s="58">
        <v>123</v>
      </c>
      <c r="B128" s="58">
        <v>462</v>
      </c>
      <c r="C128" s="58" t="s">
        <v>263</v>
      </c>
      <c r="D128" s="58" t="s">
        <v>1046</v>
      </c>
      <c r="E128" s="58" t="s">
        <v>1247</v>
      </c>
      <c r="F128" s="58">
        <v>1977</v>
      </c>
      <c r="G128" s="58" t="s">
        <v>21</v>
      </c>
      <c r="H128" s="58" t="s">
        <v>264</v>
      </c>
      <c r="I128" s="58" t="s">
        <v>149</v>
      </c>
      <c r="J128" s="58" t="s">
        <v>528</v>
      </c>
      <c r="K128" s="58" t="s">
        <v>394</v>
      </c>
      <c r="L128" s="62">
        <f>ROUNDUP(IF(A127&lt;=20, 18,IF(A127&lt;=40, 19,MIN(24, 19 + (A127-40)/20))),0)</f>
        <v>24</v>
      </c>
      <c r="M128" s="58"/>
      <c r="N128" s="58">
        <f>Result!W123</f>
        <v>0</v>
      </c>
      <c r="O128" s="58">
        <f>Result!Z123</f>
        <v>0</v>
      </c>
      <c r="P128" s="58">
        <f>Result!X123</f>
        <v>0</v>
      </c>
      <c r="Q128" s="58">
        <f>Result!Y123</f>
        <v>0</v>
      </c>
      <c r="R128" s="58">
        <f>Result!V123</f>
        <v>0</v>
      </c>
      <c r="S128" s="58"/>
      <c r="T128" s="58"/>
      <c r="U128" s="58"/>
      <c r="V128" s="58"/>
    </row>
    <row r="129" spans="1:22">
      <c r="A129" s="58">
        <v>124</v>
      </c>
      <c r="B129" s="58">
        <v>463</v>
      </c>
      <c r="C129" s="58" t="s">
        <v>265</v>
      </c>
      <c r="D129" s="58" t="s">
        <v>1184</v>
      </c>
      <c r="E129" s="58" t="s">
        <v>1263</v>
      </c>
      <c r="F129" s="58">
        <v>1989</v>
      </c>
      <c r="G129" s="58" t="s">
        <v>19</v>
      </c>
      <c r="H129" s="58" t="s">
        <v>266</v>
      </c>
      <c r="I129" s="58" t="s">
        <v>81</v>
      </c>
      <c r="J129" s="58" t="s">
        <v>503</v>
      </c>
      <c r="K129" s="58" t="s">
        <v>327</v>
      </c>
      <c r="L129" s="62">
        <f>ROUNDUP(IF(A128&lt;=20, 18,IF(A128&lt;=40, 19,MIN(24, 19 + (A128-40)/20))),0)</f>
        <v>24</v>
      </c>
      <c r="M129" s="58"/>
      <c r="N129" s="58">
        <f>Result!W124</f>
        <v>0</v>
      </c>
      <c r="O129" s="58">
        <f>Result!Z124</f>
        <v>0</v>
      </c>
      <c r="P129" s="58">
        <f>Result!X124</f>
        <v>0</v>
      </c>
      <c r="Q129" s="58">
        <f>Result!Y124</f>
        <v>0</v>
      </c>
      <c r="R129" s="58">
        <f>Result!V124</f>
        <v>0</v>
      </c>
      <c r="S129" s="58"/>
      <c r="T129" s="58"/>
      <c r="U129" s="58"/>
      <c r="V129" s="58"/>
    </row>
    <row r="130" spans="1:22">
      <c r="A130" s="58">
        <v>125</v>
      </c>
      <c r="B130" s="58">
        <v>464</v>
      </c>
      <c r="C130" s="58" t="s">
        <v>267</v>
      </c>
      <c r="D130" s="58" t="s">
        <v>1049</v>
      </c>
      <c r="E130" s="58" t="s">
        <v>1287</v>
      </c>
      <c r="F130" s="58">
        <v>1979</v>
      </c>
      <c r="G130" s="58" t="s">
        <v>21</v>
      </c>
      <c r="H130" s="58" t="s">
        <v>35</v>
      </c>
      <c r="I130" s="58" t="s">
        <v>81</v>
      </c>
      <c r="J130" s="58" t="s">
        <v>580</v>
      </c>
      <c r="K130" s="58" t="s">
        <v>394</v>
      </c>
      <c r="L130" s="62">
        <f>ROUNDUP(IF(A129&lt;=20, 18,IF(A129&lt;=40, 19,MIN(24, 19 + (A129-40)/20))),0)</f>
        <v>24</v>
      </c>
      <c r="M130" s="58"/>
      <c r="N130" s="58">
        <f>Result!W125</f>
        <v>0</v>
      </c>
      <c r="O130" s="58">
        <f>Result!Z125</f>
        <v>0</v>
      </c>
      <c r="P130" s="58">
        <f>Result!X125</f>
        <v>0</v>
      </c>
      <c r="Q130" s="58">
        <f>Result!Y125</f>
        <v>0</v>
      </c>
      <c r="R130" s="58">
        <f>Result!V125</f>
        <v>0</v>
      </c>
      <c r="S130" s="58"/>
      <c r="T130" s="58"/>
      <c r="U130" s="58"/>
      <c r="V130" s="58"/>
    </row>
    <row r="131" spans="1:22">
      <c r="A131" s="58">
        <v>126</v>
      </c>
      <c r="B131" s="58">
        <v>465</v>
      </c>
      <c r="C131" s="58" t="s">
        <v>268</v>
      </c>
      <c r="D131" s="58" t="s">
        <v>1374</v>
      </c>
      <c r="E131" s="58" t="s">
        <v>1240</v>
      </c>
      <c r="F131" s="58">
        <v>1975</v>
      </c>
      <c r="G131" s="58" t="s">
        <v>21</v>
      </c>
      <c r="H131" s="58" t="s">
        <v>171</v>
      </c>
      <c r="I131" s="58" t="s">
        <v>81</v>
      </c>
      <c r="J131" s="58" t="s">
        <v>508</v>
      </c>
      <c r="K131" s="58" t="s">
        <v>327</v>
      </c>
      <c r="L131" s="62">
        <f>ROUNDUP(IF(A130&lt;=20, 18,IF(A130&lt;=40, 19,MIN(24, 19 + (A130-40)/20))),0)</f>
        <v>24</v>
      </c>
      <c r="M131" s="58"/>
      <c r="N131" s="58">
        <f>Result!W126</f>
        <v>0</v>
      </c>
      <c r="O131" s="58">
        <f>Result!Z126</f>
        <v>0</v>
      </c>
      <c r="P131" s="58">
        <f>Result!X126</f>
        <v>0</v>
      </c>
      <c r="Q131" s="58">
        <f>Result!Y126</f>
        <v>0</v>
      </c>
      <c r="R131" s="58">
        <f>Result!V126</f>
        <v>0</v>
      </c>
      <c r="S131" s="58"/>
      <c r="T131" s="58"/>
      <c r="U131" s="58"/>
      <c r="V131" s="58"/>
    </row>
    <row r="132" spans="1:22">
      <c r="A132" s="58">
        <v>127</v>
      </c>
      <c r="B132" s="58">
        <v>466</v>
      </c>
      <c r="C132" s="58" t="s">
        <v>269</v>
      </c>
      <c r="D132" s="58" t="s">
        <v>1078</v>
      </c>
      <c r="E132" s="58" t="s">
        <v>1216</v>
      </c>
      <c r="F132" s="58">
        <v>1988</v>
      </c>
      <c r="G132" s="58" t="s">
        <v>21</v>
      </c>
      <c r="H132" s="58" t="s">
        <v>270</v>
      </c>
      <c r="I132" s="58" t="s">
        <v>81</v>
      </c>
      <c r="J132" s="58" t="s">
        <v>339</v>
      </c>
      <c r="K132" s="58" t="s">
        <v>315</v>
      </c>
      <c r="L132" s="62">
        <f>ROUNDUP(IF(A131&lt;=20, 18,IF(A131&lt;=40, 19,MIN(24, 19 + (A131-40)/20))),0)</f>
        <v>24</v>
      </c>
      <c r="M132" s="58"/>
      <c r="N132" s="58">
        <f>Result!W127</f>
        <v>0</v>
      </c>
      <c r="O132" s="58">
        <f>Result!Z127</f>
        <v>0</v>
      </c>
      <c r="P132" s="58">
        <f>Result!X127</f>
        <v>0</v>
      </c>
      <c r="Q132" s="58">
        <f>Result!Y127</f>
        <v>0</v>
      </c>
      <c r="R132" s="58">
        <f>Result!V127</f>
        <v>0</v>
      </c>
      <c r="S132" s="58"/>
      <c r="T132" s="58"/>
      <c r="U132" s="58"/>
      <c r="V132" s="58"/>
    </row>
    <row r="133" spans="1:22">
      <c r="A133" s="58">
        <v>128</v>
      </c>
      <c r="B133" s="58">
        <v>467</v>
      </c>
      <c r="C133" s="58" t="s">
        <v>271</v>
      </c>
      <c r="D133" s="58" t="s">
        <v>1185</v>
      </c>
      <c r="E133" s="58" t="s">
        <v>1238</v>
      </c>
      <c r="F133" s="58">
        <v>1978</v>
      </c>
      <c r="G133" s="58" t="s">
        <v>30</v>
      </c>
      <c r="H133" s="58" t="s">
        <v>33</v>
      </c>
      <c r="I133" s="58" t="s">
        <v>272</v>
      </c>
      <c r="J133" s="58" t="s">
        <v>745</v>
      </c>
      <c r="K133" s="58" t="s">
        <v>315</v>
      </c>
      <c r="L133" s="62">
        <f>ROUNDUP(IF(A132&lt;=20, 18,IF(A132&lt;=40, 19,MIN(24, 19 + (A132-40)/20))),0)</f>
        <v>24</v>
      </c>
      <c r="M133" s="58"/>
      <c r="N133" s="58">
        <f>Result!W128</f>
        <v>5</v>
      </c>
      <c r="O133" s="58">
        <f>Result!Z128</f>
        <v>5.5</v>
      </c>
      <c r="P133" s="58">
        <f>Result!X128</f>
        <v>6</v>
      </c>
      <c r="Q133" s="58">
        <f>Result!Y128</f>
        <v>6</v>
      </c>
      <c r="R133" s="58">
        <f>Result!V128</f>
        <v>5.5</v>
      </c>
      <c r="S133" s="58"/>
      <c r="T133" s="58"/>
      <c r="U133" s="58"/>
      <c r="V133" s="58"/>
    </row>
    <row r="134" spans="1:22">
      <c r="A134" s="58">
        <v>129</v>
      </c>
      <c r="B134" s="58">
        <v>468</v>
      </c>
      <c r="C134" s="58" t="s">
        <v>273</v>
      </c>
      <c r="D134" s="58" t="s">
        <v>1052</v>
      </c>
      <c r="E134" s="58" t="s">
        <v>1271</v>
      </c>
      <c r="F134" s="58">
        <v>1979</v>
      </c>
      <c r="G134" s="58" t="s">
        <v>19</v>
      </c>
      <c r="H134" s="58" t="s">
        <v>274</v>
      </c>
      <c r="I134" s="58" t="s">
        <v>94</v>
      </c>
      <c r="J134" s="58" t="s">
        <v>761</v>
      </c>
      <c r="K134" s="58" t="s">
        <v>654</v>
      </c>
      <c r="L134" s="62">
        <f>ROUNDUP(IF(A133&lt;=20, 18,IF(A133&lt;=40, 19,MIN(24, 19 + (A133-40)/20))),0)</f>
        <v>24</v>
      </c>
      <c r="M134" s="58"/>
      <c r="N134" s="58">
        <f>Result!W129</f>
        <v>0</v>
      </c>
      <c r="O134" s="58">
        <f>Result!Z129</f>
        <v>0</v>
      </c>
      <c r="P134" s="58">
        <f>Result!X129</f>
        <v>0</v>
      </c>
      <c r="Q134" s="58">
        <f>Result!Y129</f>
        <v>0</v>
      </c>
      <c r="R134" s="58">
        <f>Result!V129</f>
        <v>0</v>
      </c>
      <c r="S134" s="58"/>
      <c r="T134" s="58"/>
      <c r="U134" s="58"/>
      <c r="V134" s="58"/>
    </row>
    <row r="135" spans="1:22">
      <c r="A135" s="58">
        <v>130</v>
      </c>
      <c r="B135" s="58">
        <v>469</v>
      </c>
      <c r="C135" s="58" t="s">
        <v>275</v>
      </c>
      <c r="D135" s="58" t="s">
        <v>1062</v>
      </c>
      <c r="E135" s="58" t="s">
        <v>1288</v>
      </c>
      <c r="F135" s="58">
        <v>1992</v>
      </c>
      <c r="G135" s="58" t="s">
        <v>21</v>
      </c>
      <c r="H135" s="58" t="s">
        <v>104</v>
      </c>
      <c r="I135" s="58" t="s">
        <v>20</v>
      </c>
      <c r="J135" s="58" t="s">
        <v>769</v>
      </c>
      <c r="K135" s="58" t="s">
        <v>315</v>
      </c>
      <c r="L135" s="62">
        <f>ROUNDUP(IF(A134&lt;=20, 18,IF(A134&lt;=40, 19,MIN(24, 19 + (A134-40)/20))),0)</f>
        <v>24</v>
      </c>
      <c r="M135" s="58"/>
      <c r="N135" s="58">
        <f>Result!W130</f>
        <v>0</v>
      </c>
      <c r="O135" s="58">
        <f>Result!Z130</f>
        <v>0</v>
      </c>
      <c r="P135" s="58">
        <f>Result!X130</f>
        <v>0</v>
      </c>
      <c r="Q135" s="58">
        <f>Result!Y130</f>
        <v>0</v>
      </c>
      <c r="R135" s="58">
        <f>Result!V130</f>
        <v>0</v>
      </c>
      <c r="S135" s="58"/>
      <c r="T135" s="58"/>
      <c r="U135" s="58"/>
      <c r="V135" s="58"/>
    </row>
    <row r="136" spans="1:22">
      <c r="A136" s="58">
        <v>131</v>
      </c>
      <c r="B136" s="58">
        <v>470</v>
      </c>
      <c r="C136" s="58" t="s">
        <v>276</v>
      </c>
      <c r="D136" s="58" t="s">
        <v>1137</v>
      </c>
      <c r="E136" s="58" t="s">
        <v>1233</v>
      </c>
      <c r="F136" s="58">
        <v>1984</v>
      </c>
      <c r="G136" s="58" t="s">
        <v>21</v>
      </c>
      <c r="H136" s="58" t="s">
        <v>38</v>
      </c>
      <c r="I136" s="58" t="s">
        <v>20</v>
      </c>
      <c r="J136" s="58" t="s">
        <v>790</v>
      </c>
      <c r="K136" s="58" t="s">
        <v>377</v>
      </c>
      <c r="L136" s="62">
        <f>ROUNDUP(IF(A135&lt;=20, 18,IF(A135&lt;=40, 19,MIN(24, 19 + (A135-40)/20))),0)</f>
        <v>24</v>
      </c>
      <c r="M136" s="58"/>
      <c r="N136" s="58">
        <f>Result!W131</f>
        <v>5</v>
      </c>
      <c r="O136" s="58">
        <f>Result!Z131</f>
        <v>5.5</v>
      </c>
      <c r="P136" s="58">
        <f>Result!X131</f>
        <v>5.5</v>
      </c>
      <c r="Q136" s="58">
        <f>Result!Y131</f>
        <v>6</v>
      </c>
      <c r="R136" s="58">
        <f>Result!V131</f>
        <v>5.5</v>
      </c>
      <c r="S136" s="58"/>
      <c r="T136" s="58"/>
      <c r="U136" s="58"/>
      <c r="V136" s="58"/>
    </row>
    <row r="137" spans="1:22">
      <c r="A137" s="58">
        <v>132</v>
      </c>
      <c r="B137" s="58">
        <v>471</v>
      </c>
      <c r="C137" s="58" t="s">
        <v>277</v>
      </c>
      <c r="D137" s="58" t="s">
        <v>1186</v>
      </c>
      <c r="E137" s="58" t="s">
        <v>1289</v>
      </c>
      <c r="F137" s="58">
        <v>1982</v>
      </c>
      <c r="G137" s="58" t="s">
        <v>21</v>
      </c>
      <c r="H137" s="58" t="s">
        <v>22</v>
      </c>
      <c r="I137" s="58" t="s">
        <v>94</v>
      </c>
      <c r="J137" s="58" t="s">
        <v>808</v>
      </c>
      <c r="K137" s="58" t="s">
        <v>327</v>
      </c>
      <c r="L137" s="62">
        <f>ROUNDUP(IF(A136&lt;=20, 18,IF(A136&lt;=40, 19,MIN(24, 19 + (A136-40)/20))),0)</f>
        <v>24</v>
      </c>
      <c r="M137" s="58"/>
      <c r="N137" s="58">
        <f>Result!W132</f>
        <v>0</v>
      </c>
      <c r="O137" s="58">
        <f>Result!Z132</f>
        <v>0</v>
      </c>
      <c r="P137" s="58">
        <f>Result!X132</f>
        <v>0</v>
      </c>
      <c r="Q137" s="58">
        <f>Result!Y132</f>
        <v>0</v>
      </c>
      <c r="R137" s="58">
        <f>Result!V132</f>
        <v>0</v>
      </c>
      <c r="S137" s="58"/>
      <c r="T137" s="58"/>
      <c r="U137" s="58"/>
      <c r="V137" s="58"/>
    </row>
    <row r="138" spans="1:22">
      <c r="A138" s="58">
        <v>133</v>
      </c>
      <c r="B138" s="58">
        <v>472</v>
      </c>
      <c r="C138" s="58" t="s">
        <v>278</v>
      </c>
      <c r="D138" s="58" t="s">
        <v>1134</v>
      </c>
      <c r="E138" s="58" t="s">
        <v>1233</v>
      </c>
      <c r="F138" s="58">
        <v>1980</v>
      </c>
      <c r="G138" s="58" t="s">
        <v>21</v>
      </c>
      <c r="H138" s="58" t="s">
        <v>43</v>
      </c>
      <c r="I138" s="58" t="s">
        <v>20</v>
      </c>
      <c r="J138" s="58" t="s">
        <v>864</v>
      </c>
      <c r="K138" s="58" t="s">
        <v>394</v>
      </c>
      <c r="L138" s="62">
        <f>ROUNDUP(IF(A137&lt;=20, 18,IF(A137&lt;=40, 19,MIN(24, 19 + (A137-40)/20))),0)</f>
        <v>24</v>
      </c>
      <c r="M138" s="58"/>
      <c r="N138" s="58">
        <f>Result!W133</f>
        <v>5</v>
      </c>
      <c r="O138" s="58">
        <f>Result!Z133</f>
        <v>6</v>
      </c>
      <c r="P138" s="58">
        <f>Result!X133</f>
        <v>6.5</v>
      </c>
      <c r="Q138" s="58">
        <f>Result!Y133</f>
        <v>6</v>
      </c>
      <c r="R138" s="58">
        <f>Result!V133</f>
        <v>6</v>
      </c>
      <c r="S138" s="58"/>
      <c r="T138" s="58"/>
      <c r="U138" s="58"/>
      <c r="V138" s="58"/>
    </row>
    <row r="139" spans="1:22">
      <c r="A139" s="58">
        <v>134</v>
      </c>
      <c r="B139" s="58">
        <v>473</v>
      </c>
      <c r="C139" s="58" t="s">
        <v>194</v>
      </c>
      <c r="D139" s="58" t="s">
        <v>1118</v>
      </c>
      <c r="E139" s="58" t="s">
        <v>1238</v>
      </c>
      <c r="F139" s="58">
        <v>1979</v>
      </c>
      <c r="G139" s="58" t="s">
        <v>21</v>
      </c>
      <c r="H139" s="58" t="s">
        <v>47</v>
      </c>
      <c r="I139" s="58" t="s">
        <v>20</v>
      </c>
      <c r="J139" s="58" t="s">
        <v>969</v>
      </c>
      <c r="K139" s="58" t="s">
        <v>394</v>
      </c>
      <c r="L139" s="62">
        <f>ROUNDUP(IF(A138&lt;=20, 18,IF(A138&lt;=40, 19,MIN(24, 19 + (A138-40)/20))),0)</f>
        <v>24</v>
      </c>
      <c r="M139" s="58"/>
      <c r="N139" s="58">
        <f>Result!W134</f>
        <v>4</v>
      </c>
      <c r="O139" s="58">
        <f>Result!Z134</f>
        <v>5</v>
      </c>
      <c r="P139" s="58">
        <f>Result!X134</f>
        <v>5.5</v>
      </c>
      <c r="Q139" s="58">
        <f>Result!Y134</f>
        <v>6</v>
      </c>
      <c r="R139" s="58">
        <f>Result!V134</f>
        <v>5</v>
      </c>
      <c r="S139" s="58"/>
      <c r="T139" s="58"/>
      <c r="U139" s="58"/>
      <c r="V139" s="58"/>
    </row>
    <row r="140" spans="1:22">
      <c r="A140" s="58">
        <v>135</v>
      </c>
      <c r="B140" s="58">
        <v>474</v>
      </c>
      <c r="C140" s="58" t="s">
        <v>279</v>
      </c>
      <c r="D140" s="58" t="s">
        <v>1187</v>
      </c>
      <c r="E140" s="58" t="s">
        <v>1290</v>
      </c>
      <c r="F140" s="58">
        <v>1977</v>
      </c>
      <c r="G140" s="58" t="s">
        <v>21</v>
      </c>
      <c r="H140" s="58" t="s">
        <v>24</v>
      </c>
      <c r="I140" s="58" t="s">
        <v>210</v>
      </c>
      <c r="J140" s="58">
        <v>1177009345</v>
      </c>
      <c r="K140" s="58" t="s">
        <v>315</v>
      </c>
      <c r="L140" s="62">
        <f>ROUNDUP(IF(A139&lt;=20, 18,IF(A139&lt;=40, 19,MIN(24, 19 + (A139-40)/20))),0)</f>
        <v>24</v>
      </c>
      <c r="M140" s="58"/>
      <c r="N140" s="58">
        <f>Result!W135</f>
        <v>4.5</v>
      </c>
      <c r="O140" s="58">
        <f>Result!Z135</f>
        <v>6</v>
      </c>
      <c r="P140" s="58">
        <f>Result!X135</f>
        <v>5.5</v>
      </c>
      <c r="Q140" s="58">
        <f>Result!Y135</f>
        <v>6</v>
      </c>
      <c r="R140" s="58">
        <f>Result!V135</f>
        <v>5.5</v>
      </c>
      <c r="S140" s="58"/>
      <c r="T140" s="58"/>
      <c r="U140" s="58"/>
      <c r="V140" s="58"/>
    </row>
    <row r="141" spans="1:22">
      <c r="A141" s="58">
        <v>136</v>
      </c>
      <c r="B141" s="58">
        <v>475</v>
      </c>
      <c r="C141" s="58" t="s">
        <v>280</v>
      </c>
      <c r="D141" s="58" t="s">
        <v>1054</v>
      </c>
      <c r="E141" s="58" t="s">
        <v>1247</v>
      </c>
      <c r="F141" s="58">
        <v>1979</v>
      </c>
      <c r="G141" s="58" t="s">
        <v>30</v>
      </c>
      <c r="H141" s="58" t="s">
        <v>107</v>
      </c>
      <c r="I141" s="58" t="s">
        <v>100</v>
      </c>
      <c r="J141" s="58">
        <v>1179014240</v>
      </c>
      <c r="K141" s="58" t="s">
        <v>327</v>
      </c>
      <c r="L141" s="62">
        <f>ROUNDUP(IF(A140&lt;=20, 18,IF(A140&lt;=40, 19,MIN(24, 19 + (A140-40)/20))),0)</f>
        <v>24</v>
      </c>
      <c r="M141" s="58"/>
      <c r="N141" s="58">
        <f>Result!W136</f>
        <v>0</v>
      </c>
      <c r="O141" s="58">
        <f>Result!Z136</f>
        <v>0</v>
      </c>
      <c r="P141" s="58">
        <f>Result!X136</f>
        <v>0</v>
      </c>
      <c r="Q141" s="58">
        <f>Result!Y136</f>
        <v>0</v>
      </c>
      <c r="R141" s="58">
        <f>Result!V136</f>
        <v>0</v>
      </c>
      <c r="S141" s="58"/>
      <c r="T141" s="58"/>
      <c r="U141" s="58"/>
      <c r="V141" s="58"/>
    </row>
    <row r="142" spans="1:22">
      <c r="A142" s="58">
        <v>137</v>
      </c>
      <c r="B142" s="58">
        <v>476</v>
      </c>
      <c r="C142" s="58" t="s">
        <v>281</v>
      </c>
      <c r="D142" s="58" t="s">
        <v>1188</v>
      </c>
      <c r="E142" s="58" t="s">
        <v>1282</v>
      </c>
      <c r="F142" s="58">
        <v>1978</v>
      </c>
      <c r="G142" s="58" t="s">
        <v>30</v>
      </c>
      <c r="H142" s="58" t="s">
        <v>282</v>
      </c>
      <c r="I142" s="58" t="s">
        <v>283</v>
      </c>
      <c r="J142" s="58" t="s">
        <v>1143</v>
      </c>
      <c r="K142" s="58" t="s">
        <v>1143</v>
      </c>
      <c r="L142" s="62">
        <f>ROUNDUP(IF(A141&lt;=20, 18,IF(A141&lt;=40, 19,MIN(24, 19 + (A141-40)/20))),0)</f>
        <v>24</v>
      </c>
      <c r="M142" s="58"/>
      <c r="N142" s="58">
        <f>Result!W137</f>
        <v>0</v>
      </c>
      <c r="O142" s="58">
        <f>Result!Z137</f>
        <v>0</v>
      </c>
      <c r="P142" s="58">
        <f>Result!X137</f>
        <v>0</v>
      </c>
      <c r="Q142" s="58">
        <f>Result!Y137</f>
        <v>0</v>
      </c>
      <c r="R142" s="58">
        <f>Result!V137</f>
        <v>0</v>
      </c>
      <c r="S142" s="58"/>
      <c r="T142" s="58"/>
      <c r="U142" s="58"/>
      <c r="V142" s="58"/>
    </row>
    <row r="143" spans="1:22">
      <c r="A143" s="58">
        <v>138</v>
      </c>
      <c r="B143" s="58">
        <v>477</v>
      </c>
      <c r="C143" s="58" t="s">
        <v>128</v>
      </c>
      <c r="D143" s="58" t="s">
        <v>1149</v>
      </c>
      <c r="E143" s="58" t="s">
        <v>1230</v>
      </c>
      <c r="F143" s="58">
        <v>1982</v>
      </c>
      <c r="G143" s="58" t="s">
        <v>30</v>
      </c>
      <c r="H143" s="58" t="s">
        <v>110</v>
      </c>
      <c r="I143" s="58" t="s">
        <v>100</v>
      </c>
      <c r="J143" s="58">
        <v>1182033283</v>
      </c>
      <c r="K143" s="58" t="s">
        <v>358</v>
      </c>
      <c r="L143" s="62">
        <f>ROUNDUP(IF(A142&lt;=20, 18,IF(A142&lt;=40, 19,MIN(24, 19 + (A142-40)/20))),0)</f>
        <v>24</v>
      </c>
      <c r="M143" s="58"/>
      <c r="N143" s="58">
        <f>Result!W138</f>
        <v>0</v>
      </c>
      <c r="O143" s="58">
        <f>Result!Z138</f>
        <v>0</v>
      </c>
      <c r="P143" s="58">
        <f>Result!X138</f>
        <v>0</v>
      </c>
      <c r="Q143" s="58">
        <f>Result!Y138</f>
        <v>0</v>
      </c>
      <c r="R143" s="58">
        <f>Result!V138</f>
        <v>0</v>
      </c>
      <c r="S143" s="58"/>
      <c r="T143" s="58"/>
      <c r="U143" s="58"/>
      <c r="V143" s="58"/>
    </row>
    <row r="144" spans="1:22">
      <c r="A144" s="58">
        <v>139</v>
      </c>
      <c r="B144" s="58">
        <v>478</v>
      </c>
      <c r="C144" s="58" t="s">
        <v>284</v>
      </c>
      <c r="D144" s="58" t="s">
        <v>1133</v>
      </c>
      <c r="E144" s="58" t="s">
        <v>1253</v>
      </c>
      <c r="F144" s="58">
        <v>1978</v>
      </c>
      <c r="G144" s="58" t="s">
        <v>30</v>
      </c>
      <c r="H144" s="58" t="s">
        <v>110</v>
      </c>
      <c r="I144" s="58" t="s">
        <v>100</v>
      </c>
      <c r="J144" s="58">
        <v>1178003953</v>
      </c>
      <c r="K144" s="58" t="s">
        <v>327</v>
      </c>
      <c r="L144" s="62">
        <f>ROUNDUP(IF(A143&lt;=20, 18,IF(A143&lt;=40, 19,MIN(24, 19 + (A143-40)/20))),0)</f>
        <v>24</v>
      </c>
      <c r="M144" s="58"/>
      <c r="N144" s="58">
        <f>Result!W139</f>
        <v>5.5</v>
      </c>
      <c r="O144" s="58">
        <f>Result!Z139</f>
        <v>5.5</v>
      </c>
      <c r="P144" s="58">
        <f>Result!X139</f>
        <v>8.5</v>
      </c>
      <c r="Q144" s="58">
        <f>Result!Y139</f>
        <v>6.5</v>
      </c>
      <c r="R144" s="58">
        <f>Result!V139</f>
        <v>6.5</v>
      </c>
      <c r="S144" s="58"/>
      <c r="T144" s="58"/>
      <c r="U144" s="58"/>
      <c r="V144" s="58"/>
    </row>
    <row r="145" spans="1:22">
      <c r="A145" s="58">
        <v>140</v>
      </c>
      <c r="B145" s="58">
        <v>479</v>
      </c>
      <c r="C145" s="58" t="s">
        <v>285</v>
      </c>
      <c r="D145" s="58" t="s">
        <v>1048</v>
      </c>
      <c r="E145" s="58" t="s">
        <v>1256</v>
      </c>
      <c r="F145" s="58">
        <v>1992</v>
      </c>
      <c r="G145" s="58" t="s">
        <v>19</v>
      </c>
      <c r="H145" s="58" t="s">
        <v>286</v>
      </c>
      <c r="I145" s="58" t="s">
        <v>39</v>
      </c>
      <c r="J145" s="58">
        <v>1192033920</v>
      </c>
      <c r="K145" s="58" t="s">
        <v>654</v>
      </c>
      <c r="L145" s="62">
        <f>ROUNDUP(IF(A144&lt;=20, 18,IF(A144&lt;=40, 19,MIN(24, 19 + (A144-40)/20))),0)</f>
        <v>24</v>
      </c>
      <c r="M145" s="58"/>
      <c r="N145" s="58">
        <f>Result!W140</f>
        <v>0</v>
      </c>
      <c r="O145" s="58">
        <f>Result!Z140</f>
        <v>0</v>
      </c>
      <c r="P145" s="58">
        <f>Result!X140</f>
        <v>0</v>
      </c>
      <c r="Q145" s="58">
        <f>Result!Y140</f>
        <v>0</v>
      </c>
      <c r="R145" s="58">
        <f>Result!V140</f>
        <v>0</v>
      </c>
      <c r="S145" s="58"/>
      <c r="T145" s="58"/>
      <c r="U145" s="58"/>
      <c r="V145" s="58"/>
    </row>
    <row r="146" spans="1:22">
      <c r="B146" s="58">
        <v>480</v>
      </c>
      <c r="C146" s="58" t="s">
        <v>287</v>
      </c>
      <c r="D146" s="58" t="s">
        <v>1136</v>
      </c>
      <c r="E146" s="58" t="s">
        <v>1214</v>
      </c>
      <c r="F146" s="58">
        <v>1986</v>
      </c>
      <c r="G146" s="58" t="s">
        <v>30</v>
      </c>
      <c r="H146" s="58" t="s">
        <v>46</v>
      </c>
      <c r="I146" s="58" t="s">
        <v>59</v>
      </c>
      <c r="J146" s="58">
        <v>1186019155</v>
      </c>
      <c r="K146" s="58" t="s">
        <v>327</v>
      </c>
      <c r="L146" s="62">
        <f>ROUNDUP(IF(A145&lt;=20, 18,IF(A145&lt;=40, 19,MIN(24, 19 + (A145-40)/20))),0)</f>
        <v>24</v>
      </c>
      <c r="M146" s="58"/>
      <c r="N146" s="58">
        <f>Result!W141</f>
        <v>4</v>
      </c>
      <c r="O146" s="58">
        <f>Result!Z141</f>
        <v>4.5</v>
      </c>
      <c r="P146" s="58">
        <f>Result!X141</f>
        <v>6</v>
      </c>
      <c r="Q146" s="58">
        <f>Result!Y141</f>
        <v>6</v>
      </c>
      <c r="R146" s="58">
        <f>Result!V141</f>
        <v>5</v>
      </c>
      <c r="S146" s="58"/>
      <c r="T146" s="58"/>
      <c r="U146" s="58"/>
      <c r="V146" s="58"/>
    </row>
  </sheetData>
  <mergeCells count="18">
    <mergeCell ref="A1:V1"/>
    <mergeCell ref="A2:V2"/>
    <mergeCell ref="A4:A5"/>
    <mergeCell ref="B4:B5"/>
    <mergeCell ref="C4:C5"/>
    <mergeCell ref="F4:F5"/>
    <mergeCell ref="G4:G5"/>
    <mergeCell ref="H4:H5"/>
    <mergeCell ref="T4:T5"/>
    <mergeCell ref="U4:U5"/>
    <mergeCell ref="V4:V5"/>
    <mergeCell ref="E4:E5"/>
    <mergeCell ref="I4:I5"/>
    <mergeCell ref="J4:J5"/>
    <mergeCell ref="K4:K5"/>
    <mergeCell ref="L4:L5"/>
    <mergeCell ref="M4:M5"/>
    <mergeCell ref="S4:S5"/>
  </mergeCells>
  <phoneticPr fontId="17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50D5-D6E6-4AB5-8927-06CC971B2ED7}">
  <sheetPr codeName="Sheet11"/>
  <dimension ref="A1:S59"/>
  <sheetViews>
    <sheetView topLeftCell="E1" workbookViewId="0">
      <selection activeCell="E1" sqref="E1:R59"/>
    </sheetView>
  </sheetViews>
  <sheetFormatPr defaultRowHeight="15"/>
  <cols>
    <col min="1" max="1" width="20.28515625" hidden="1" customWidth="1"/>
    <col min="2" max="2" width="13.7109375" hidden="1" customWidth="1"/>
    <col min="3" max="3" width="14" hidden="1" customWidth="1"/>
    <col min="4" max="4" width="17" hidden="1" customWidth="1"/>
    <col min="5" max="5" width="24.85546875" bestFit="1" customWidth="1"/>
    <col min="6" max="6" width="15.85546875" customWidth="1"/>
    <col min="7" max="7" width="13.28515625" customWidth="1"/>
    <col min="8" max="8" width="32.28515625" bestFit="1" customWidth="1"/>
    <col min="9" max="9" width="11.7109375" hidden="1" customWidth="1"/>
    <col min="10" max="10" width="8.140625" hidden="1" customWidth="1"/>
    <col min="11" max="11" width="8.85546875" hidden="1" customWidth="1"/>
    <col min="12" max="12" width="14.28515625" hidden="1" customWidth="1"/>
    <col min="13" max="13" width="10.7109375" hidden="1" customWidth="1"/>
    <col min="14" max="14" width="12.85546875" customWidth="1"/>
    <col min="15" max="15" width="11.140625" customWidth="1"/>
    <col min="16" max="16" width="10.28515625" customWidth="1"/>
    <col min="17" max="17" width="9.85546875" customWidth="1"/>
    <col min="18" max="18" width="11.140625" customWidth="1"/>
    <col min="19" max="19" width="10" hidden="1" customWidth="1"/>
  </cols>
  <sheetData>
    <row r="1" spans="1:19">
      <c r="A1" t="s">
        <v>1291</v>
      </c>
      <c r="B1" t="s">
        <v>1292</v>
      </c>
      <c r="C1" t="s">
        <v>1293</v>
      </c>
      <c r="D1" t="s">
        <v>1294</v>
      </c>
      <c r="E1" s="78" t="s">
        <v>1363</v>
      </c>
      <c r="F1" t="s">
        <v>1295</v>
      </c>
      <c r="G1" t="s">
        <v>1296</v>
      </c>
      <c r="H1" t="s">
        <v>1297</v>
      </c>
      <c r="I1" t="s">
        <v>1298</v>
      </c>
      <c r="J1" t="s">
        <v>1299</v>
      </c>
      <c r="K1" t="s">
        <v>1300</v>
      </c>
      <c r="L1" t="s">
        <v>1301</v>
      </c>
      <c r="M1" t="s">
        <v>1302</v>
      </c>
      <c r="N1" t="s">
        <v>1303</v>
      </c>
      <c r="O1" t="s">
        <v>1304</v>
      </c>
      <c r="P1" t="s">
        <v>1305</v>
      </c>
      <c r="Q1" t="s">
        <v>1306</v>
      </c>
      <c r="R1" t="s">
        <v>1307</v>
      </c>
      <c r="S1" t="s">
        <v>1308</v>
      </c>
    </row>
    <row r="2" spans="1:19">
      <c r="A2">
        <v>45</v>
      </c>
      <c r="B2" t="s">
        <v>1309</v>
      </c>
      <c r="C2" t="s">
        <v>713</v>
      </c>
      <c r="D2" t="s">
        <v>712</v>
      </c>
      <c r="E2" t="s">
        <v>684</v>
      </c>
      <c r="F2" t="s">
        <v>1310</v>
      </c>
      <c r="G2">
        <v>973438488</v>
      </c>
      <c r="H2" t="s">
        <v>714</v>
      </c>
      <c r="I2" t="s">
        <v>1311</v>
      </c>
      <c r="J2" t="s">
        <v>1312</v>
      </c>
      <c r="K2" t="s">
        <v>1313</v>
      </c>
      <c r="L2">
        <v>25177005125</v>
      </c>
      <c r="M2" t="s">
        <v>1314</v>
      </c>
      <c r="N2">
        <v>3.5</v>
      </c>
      <c r="O2">
        <v>2</v>
      </c>
      <c r="P2">
        <v>4</v>
      </c>
      <c r="Q2">
        <v>4</v>
      </c>
      <c r="R2">
        <v>3.5</v>
      </c>
      <c r="S2" t="s">
        <v>1315</v>
      </c>
    </row>
    <row r="3" spans="1:19">
      <c r="A3">
        <v>53</v>
      </c>
      <c r="B3" t="s">
        <v>1309</v>
      </c>
      <c r="C3" t="s">
        <v>713</v>
      </c>
      <c r="D3" t="s">
        <v>1316</v>
      </c>
      <c r="E3" t="s">
        <v>1158</v>
      </c>
      <c r="F3" t="s">
        <v>1310</v>
      </c>
      <c r="G3">
        <v>947476368</v>
      </c>
      <c r="H3" t="s">
        <v>1317</v>
      </c>
      <c r="I3" t="s">
        <v>1318</v>
      </c>
      <c r="J3" t="s">
        <v>1312</v>
      </c>
      <c r="K3" t="s">
        <v>1313</v>
      </c>
      <c r="L3">
        <v>1175032774</v>
      </c>
      <c r="M3" t="s">
        <v>1314</v>
      </c>
      <c r="N3">
        <v>4</v>
      </c>
      <c r="O3">
        <v>3.5</v>
      </c>
      <c r="P3">
        <v>4.5</v>
      </c>
      <c r="Q3">
        <v>3.5</v>
      </c>
      <c r="R3">
        <v>4</v>
      </c>
      <c r="S3" t="s">
        <v>1319</v>
      </c>
    </row>
    <row r="4" spans="1:19">
      <c r="A4">
        <v>69</v>
      </c>
      <c r="B4" t="s">
        <v>1309</v>
      </c>
      <c r="C4" t="s">
        <v>329</v>
      </c>
      <c r="D4" t="s">
        <v>330</v>
      </c>
      <c r="E4" t="s">
        <v>1125</v>
      </c>
      <c r="F4" t="s">
        <v>1310</v>
      </c>
      <c r="G4">
        <v>983492638</v>
      </c>
      <c r="H4" t="s">
        <v>331</v>
      </c>
      <c r="I4" t="s">
        <v>1320</v>
      </c>
      <c r="J4" t="s">
        <v>1312</v>
      </c>
      <c r="K4" t="s">
        <v>1313</v>
      </c>
      <c r="L4">
        <v>1176049161</v>
      </c>
      <c r="M4" t="s">
        <v>1314</v>
      </c>
      <c r="N4">
        <v>6.5</v>
      </c>
      <c r="O4">
        <v>5.5</v>
      </c>
      <c r="P4">
        <v>6.5</v>
      </c>
      <c r="Q4">
        <v>7</v>
      </c>
      <c r="R4">
        <v>6</v>
      </c>
      <c r="S4" t="s">
        <v>1321</v>
      </c>
    </row>
    <row r="5" spans="1:19">
      <c r="A5">
        <v>73</v>
      </c>
      <c r="B5" t="s">
        <v>1309</v>
      </c>
      <c r="C5" t="s">
        <v>722</v>
      </c>
      <c r="D5" t="s">
        <v>721</v>
      </c>
      <c r="E5" t="s">
        <v>1114</v>
      </c>
      <c r="F5" t="s">
        <v>1310</v>
      </c>
      <c r="G5">
        <v>386286499</v>
      </c>
      <c r="H5" t="s">
        <v>723</v>
      </c>
      <c r="I5" t="s">
        <v>1322</v>
      </c>
      <c r="J5" t="s">
        <v>1312</v>
      </c>
      <c r="K5" t="s">
        <v>1313</v>
      </c>
      <c r="L5">
        <v>1178022441</v>
      </c>
      <c r="M5" t="s">
        <v>1314</v>
      </c>
      <c r="N5">
        <v>4.5</v>
      </c>
      <c r="O5">
        <v>3</v>
      </c>
      <c r="P5">
        <v>5.5</v>
      </c>
      <c r="Q5">
        <v>5.5</v>
      </c>
      <c r="R5">
        <v>4.5</v>
      </c>
      <c r="S5" t="s">
        <v>1319</v>
      </c>
    </row>
    <row r="6" spans="1:19">
      <c r="A6">
        <v>75</v>
      </c>
      <c r="B6" t="s">
        <v>1309</v>
      </c>
      <c r="C6" t="s">
        <v>336</v>
      </c>
      <c r="D6" t="s">
        <v>337</v>
      </c>
      <c r="E6" t="s">
        <v>1137</v>
      </c>
      <c r="F6" t="s">
        <v>1310</v>
      </c>
      <c r="G6">
        <v>989897556</v>
      </c>
      <c r="H6" t="s">
        <v>338</v>
      </c>
      <c r="I6">
        <v>30927</v>
      </c>
      <c r="J6" t="s">
        <v>1312</v>
      </c>
      <c r="K6" t="s">
        <v>1313</v>
      </c>
      <c r="L6">
        <v>1184057507</v>
      </c>
      <c r="M6" t="s">
        <v>1314</v>
      </c>
      <c r="N6">
        <v>5.5</v>
      </c>
      <c r="O6">
        <v>5</v>
      </c>
      <c r="P6">
        <v>5.5</v>
      </c>
      <c r="Q6">
        <v>6</v>
      </c>
      <c r="R6">
        <v>5.5</v>
      </c>
      <c r="S6" t="s">
        <v>1321</v>
      </c>
    </row>
    <row r="7" spans="1:19">
      <c r="A7">
        <v>110</v>
      </c>
      <c r="B7" t="s">
        <v>1309</v>
      </c>
      <c r="C7" t="s">
        <v>342</v>
      </c>
      <c r="D7" t="s">
        <v>343</v>
      </c>
      <c r="E7" t="s">
        <v>1126</v>
      </c>
      <c r="F7" t="s">
        <v>1310</v>
      </c>
      <c r="G7">
        <v>982033412</v>
      </c>
      <c r="H7" t="s">
        <v>344</v>
      </c>
      <c r="I7" t="s">
        <v>1323</v>
      </c>
      <c r="J7" t="s">
        <v>1312</v>
      </c>
      <c r="K7" t="s">
        <v>1313</v>
      </c>
      <c r="L7">
        <v>27176002787</v>
      </c>
      <c r="M7" t="s">
        <v>1314</v>
      </c>
      <c r="N7">
        <v>5</v>
      </c>
      <c r="O7">
        <v>3.5</v>
      </c>
      <c r="P7">
        <v>5.5</v>
      </c>
      <c r="Q7">
        <v>6</v>
      </c>
      <c r="R7">
        <v>5.5</v>
      </c>
      <c r="S7" t="s">
        <v>1319</v>
      </c>
    </row>
    <row r="8" spans="1:19">
      <c r="A8">
        <v>134</v>
      </c>
      <c r="B8" t="s">
        <v>1309</v>
      </c>
      <c r="C8" t="s">
        <v>350</v>
      </c>
      <c r="D8" t="s">
        <v>356</v>
      </c>
      <c r="E8" t="s">
        <v>1086</v>
      </c>
      <c r="F8" t="s">
        <v>1310</v>
      </c>
      <c r="G8">
        <v>986997462</v>
      </c>
      <c r="H8" t="s">
        <v>1324</v>
      </c>
      <c r="I8" t="s">
        <v>1325</v>
      </c>
      <c r="J8" t="s">
        <v>1312</v>
      </c>
      <c r="K8" t="s">
        <v>1313</v>
      </c>
      <c r="L8">
        <v>26176000273</v>
      </c>
      <c r="M8" t="s">
        <v>1314</v>
      </c>
      <c r="N8">
        <v>4.5</v>
      </c>
      <c r="O8">
        <v>2</v>
      </c>
      <c r="P8">
        <v>5</v>
      </c>
      <c r="Q8">
        <v>6</v>
      </c>
      <c r="R8">
        <v>5</v>
      </c>
      <c r="S8" t="s">
        <v>1319</v>
      </c>
    </row>
    <row r="9" spans="1:19">
      <c r="A9">
        <v>138</v>
      </c>
      <c r="B9" t="s">
        <v>1309</v>
      </c>
      <c r="C9" t="s">
        <v>350</v>
      </c>
      <c r="D9" t="s">
        <v>1326</v>
      </c>
      <c r="E9" t="s">
        <v>1174</v>
      </c>
      <c r="F9" t="s">
        <v>1310</v>
      </c>
      <c r="G9">
        <v>972981938</v>
      </c>
      <c r="H9" t="s">
        <v>348</v>
      </c>
      <c r="I9" t="s">
        <v>1320</v>
      </c>
      <c r="J9" t="s">
        <v>1327</v>
      </c>
      <c r="K9" t="s">
        <v>1313</v>
      </c>
      <c r="L9">
        <v>1083006421</v>
      </c>
      <c r="M9" t="s">
        <v>1314</v>
      </c>
      <c r="N9">
        <v>6</v>
      </c>
      <c r="O9">
        <v>5.5</v>
      </c>
      <c r="P9">
        <v>6</v>
      </c>
      <c r="Q9">
        <v>5.5</v>
      </c>
      <c r="R9">
        <v>6</v>
      </c>
      <c r="S9" t="s">
        <v>1321</v>
      </c>
    </row>
    <row r="10" spans="1:19">
      <c r="A10">
        <v>157</v>
      </c>
      <c r="B10" t="s">
        <v>1309</v>
      </c>
      <c r="C10" t="s">
        <v>360</v>
      </c>
      <c r="D10" t="s">
        <v>718</v>
      </c>
      <c r="E10" t="s">
        <v>1099</v>
      </c>
      <c r="F10" t="s">
        <v>1310</v>
      </c>
      <c r="G10">
        <v>987709904</v>
      </c>
      <c r="H10" t="s">
        <v>361</v>
      </c>
      <c r="I10">
        <v>30686</v>
      </c>
      <c r="J10" t="s">
        <v>1312</v>
      </c>
      <c r="K10" t="s">
        <v>1313</v>
      </c>
      <c r="L10">
        <v>1184058569</v>
      </c>
      <c r="M10" t="s">
        <v>1314</v>
      </c>
      <c r="N10">
        <v>6</v>
      </c>
      <c r="O10">
        <v>5</v>
      </c>
      <c r="P10">
        <v>6</v>
      </c>
      <c r="Q10">
        <v>6</v>
      </c>
      <c r="R10">
        <v>6</v>
      </c>
      <c r="S10" t="s">
        <v>1321</v>
      </c>
    </row>
    <row r="11" spans="1:19">
      <c r="A11">
        <v>158</v>
      </c>
      <c r="B11" t="s">
        <v>1309</v>
      </c>
      <c r="C11" t="s">
        <v>360</v>
      </c>
      <c r="D11" t="s">
        <v>343</v>
      </c>
      <c r="E11" t="s">
        <v>1113</v>
      </c>
      <c r="F11" t="s">
        <v>1310</v>
      </c>
      <c r="G11">
        <v>966099169</v>
      </c>
      <c r="H11" t="s">
        <v>365</v>
      </c>
      <c r="I11" t="s">
        <v>1328</v>
      </c>
      <c r="J11" t="s">
        <v>1312</v>
      </c>
      <c r="K11" t="s">
        <v>1313</v>
      </c>
      <c r="L11">
        <v>1177014103</v>
      </c>
      <c r="M11" t="s">
        <v>1314</v>
      </c>
      <c r="N11">
        <v>4.5</v>
      </c>
      <c r="O11">
        <v>3.5</v>
      </c>
      <c r="P11">
        <v>4.5</v>
      </c>
      <c r="Q11">
        <v>5.5</v>
      </c>
      <c r="R11">
        <v>5</v>
      </c>
      <c r="S11" t="s">
        <v>1319</v>
      </c>
    </row>
    <row r="12" spans="1:19">
      <c r="A12">
        <v>161</v>
      </c>
      <c r="B12" t="s">
        <v>1309</v>
      </c>
      <c r="C12" t="s">
        <v>360</v>
      </c>
      <c r="D12" t="s">
        <v>367</v>
      </c>
      <c r="E12" t="s">
        <v>1095</v>
      </c>
      <c r="F12" t="s">
        <v>1310</v>
      </c>
      <c r="G12">
        <v>978388044</v>
      </c>
      <c r="H12" t="s">
        <v>368</v>
      </c>
      <c r="I12" t="s">
        <v>1329</v>
      </c>
      <c r="J12" t="s">
        <v>1312</v>
      </c>
      <c r="K12" t="s">
        <v>1313</v>
      </c>
      <c r="L12">
        <v>1178029862</v>
      </c>
      <c r="M12" t="s">
        <v>1314</v>
      </c>
      <c r="N12">
        <v>4</v>
      </c>
      <c r="O12">
        <v>2</v>
      </c>
      <c r="P12">
        <v>5</v>
      </c>
      <c r="Q12">
        <v>5.5</v>
      </c>
      <c r="R12">
        <v>4</v>
      </c>
      <c r="S12" t="s">
        <v>1319</v>
      </c>
    </row>
    <row r="13" spans="1:19">
      <c r="A13">
        <v>167</v>
      </c>
      <c r="B13" t="s">
        <v>1309</v>
      </c>
      <c r="C13" t="s">
        <v>360</v>
      </c>
      <c r="D13" t="s">
        <v>372</v>
      </c>
      <c r="E13" t="s">
        <v>1130</v>
      </c>
      <c r="F13" t="s">
        <v>1310</v>
      </c>
      <c r="G13">
        <v>365263586</v>
      </c>
      <c r="H13" t="s">
        <v>373</v>
      </c>
      <c r="I13">
        <v>30901</v>
      </c>
      <c r="J13" t="s">
        <v>1312</v>
      </c>
      <c r="K13" t="s">
        <v>1313</v>
      </c>
      <c r="L13">
        <v>1184035063</v>
      </c>
      <c r="M13" t="s">
        <v>1314</v>
      </c>
      <c r="N13">
        <v>6</v>
      </c>
      <c r="O13">
        <v>5.5</v>
      </c>
      <c r="P13">
        <v>6.5</v>
      </c>
      <c r="Q13">
        <v>6.5</v>
      </c>
      <c r="R13">
        <v>6</v>
      </c>
      <c r="S13" t="s">
        <v>1321</v>
      </c>
    </row>
    <row r="14" spans="1:19">
      <c r="A14">
        <v>169</v>
      </c>
      <c r="B14" t="s">
        <v>1309</v>
      </c>
      <c r="C14" t="s">
        <v>360</v>
      </c>
      <c r="D14" t="s">
        <v>378</v>
      </c>
      <c r="E14" t="s">
        <v>1096</v>
      </c>
      <c r="F14" t="s">
        <v>1310</v>
      </c>
      <c r="G14">
        <v>968103693</v>
      </c>
      <c r="H14" t="s">
        <v>379</v>
      </c>
      <c r="I14" t="s">
        <v>1320</v>
      </c>
      <c r="J14" t="s">
        <v>1312</v>
      </c>
      <c r="K14" t="s">
        <v>1313</v>
      </c>
      <c r="L14">
        <v>1181004093</v>
      </c>
      <c r="M14" t="s">
        <v>1314</v>
      </c>
      <c r="N14">
        <v>4.5</v>
      </c>
      <c r="O14">
        <v>3.5</v>
      </c>
      <c r="P14">
        <v>5</v>
      </c>
      <c r="Q14">
        <v>5.5</v>
      </c>
      <c r="R14">
        <v>4</v>
      </c>
      <c r="S14" t="s">
        <v>1319</v>
      </c>
    </row>
    <row r="15" spans="1:19">
      <c r="A15">
        <v>172</v>
      </c>
      <c r="B15" t="s">
        <v>1309</v>
      </c>
      <c r="C15" t="s">
        <v>360</v>
      </c>
      <c r="D15" t="s">
        <v>384</v>
      </c>
      <c r="E15" t="s">
        <v>1115</v>
      </c>
      <c r="F15" t="s">
        <v>1310</v>
      </c>
      <c r="G15">
        <v>973116977</v>
      </c>
      <c r="H15" t="s">
        <v>385</v>
      </c>
      <c r="I15" t="s">
        <v>1320</v>
      </c>
      <c r="J15" t="s">
        <v>1312</v>
      </c>
      <c r="K15" t="s">
        <v>1313</v>
      </c>
      <c r="L15">
        <v>1174036478</v>
      </c>
      <c r="M15" t="s">
        <v>1314</v>
      </c>
      <c r="N15">
        <v>4.5</v>
      </c>
      <c r="O15">
        <v>2</v>
      </c>
      <c r="P15">
        <v>5.5</v>
      </c>
      <c r="Q15">
        <v>5.5</v>
      </c>
      <c r="R15">
        <v>5.5</v>
      </c>
      <c r="S15" t="s">
        <v>1319</v>
      </c>
    </row>
    <row r="16" spans="1:19">
      <c r="A16">
        <v>185</v>
      </c>
      <c r="B16" t="s">
        <v>1309</v>
      </c>
      <c r="C16" t="s">
        <v>360</v>
      </c>
      <c r="D16" t="s">
        <v>389</v>
      </c>
      <c r="E16" t="s">
        <v>1129</v>
      </c>
      <c r="F16" t="s">
        <v>1310</v>
      </c>
      <c r="G16">
        <v>972588455</v>
      </c>
      <c r="H16" t="s">
        <v>390</v>
      </c>
      <c r="I16">
        <v>28581</v>
      </c>
      <c r="J16" t="s">
        <v>1327</v>
      </c>
      <c r="K16" t="s">
        <v>1313</v>
      </c>
      <c r="L16">
        <v>1078028836</v>
      </c>
      <c r="M16" t="s">
        <v>1314</v>
      </c>
      <c r="N16">
        <v>5.5</v>
      </c>
      <c r="O16">
        <v>4.5</v>
      </c>
      <c r="P16">
        <v>4.5</v>
      </c>
      <c r="Q16">
        <v>6.5</v>
      </c>
      <c r="R16">
        <v>5.5</v>
      </c>
      <c r="S16" t="s">
        <v>1321</v>
      </c>
    </row>
    <row r="17" spans="1:19">
      <c r="A17">
        <v>189</v>
      </c>
      <c r="B17" t="s">
        <v>1309</v>
      </c>
      <c r="C17" t="s">
        <v>396</v>
      </c>
      <c r="D17" t="s">
        <v>397</v>
      </c>
      <c r="E17" t="s">
        <v>1123</v>
      </c>
      <c r="F17" t="s">
        <v>1310</v>
      </c>
      <c r="G17">
        <v>363602772</v>
      </c>
      <c r="H17" t="s">
        <v>398</v>
      </c>
      <c r="I17" t="s">
        <v>1330</v>
      </c>
      <c r="J17" t="s">
        <v>1312</v>
      </c>
      <c r="K17" t="s">
        <v>1313</v>
      </c>
      <c r="L17">
        <v>1196039158</v>
      </c>
      <c r="M17" t="s">
        <v>1314</v>
      </c>
      <c r="N17">
        <v>5.5</v>
      </c>
      <c r="O17">
        <v>4</v>
      </c>
      <c r="P17">
        <v>5.5</v>
      </c>
      <c r="Q17">
        <v>6</v>
      </c>
      <c r="R17">
        <v>5.5</v>
      </c>
      <c r="S17" t="s">
        <v>1321</v>
      </c>
    </row>
    <row r="18" spans="1:19">
      <c r="A18">
        <v>203</v>
      </c>
      <c r="B18" t="s">
        <v>1309</v>
      </c>
      <c r="C18" t="s">
        <v>402</v>
      </c>
      <c r="D18" t="s">
        <v>403</v>
      </c>
      <c r="E18" t="s">
        <v>661</v>
      </c>
      <c r="F18" t="s">
        <v>1310</v>
      </c>
      <c r="G18">
        <v>358060974</v>
      </c>
      <c r="H18" t="s">
        <v>404</v>
      </c>
      <c r="I18" t="s">
        <v>1320</v>
      </c>
      <c r="J18" t="s">
        <v>1312</v>
      </c>
      <c r="K18" t="s">
        <v>1313</v>
      </c>
      <c r="L18">
        <v>1175030348</v>
      </c>
      <c r="M18" t="s">
        <v>1314</v>
      </c>
      <c r="N18">
        <v>4.5</v>
      </c>
      <c r="O18">
        <v>3.5</v>
      </c>
      <c r="P18">
        <v>4</v>
      </c>
      <c r="Q18">
        <v>6</v>
      </c>
      <c r="R18">
        <v>4.5</v>
      </c>
      <c r="S18" t="s">
        <v>1319</v>
      </c>
    </row>
    <row r="19" spans="1:19">
      <c r="A19">
        <v>207</v>
      </c>
      <c r="B19" t="s">
        <v>1309</v>
      </c>
      <c r="C19" t="s">
        <v>402</v>
      </c>
      <c r="D19" t="s">
        <v>409</v>
      </c>
      <c r="E19" t="s">
        <v>662</v>
      </c>
      <c r="F19" t="s">
        <v>1310</v>
      </c>
      <c r="G19">
        <v>986244026</v>
      </c>
      <c r="H19" t="s">
        <v>410</v>
      </c>
      <c r="I19" t="s">
        <v>1331</v>
      </c>
      <c r="J19" t="s">
        <v>1312</v>
      </c>
      <c r="K19" t="s">
        <v>1313</v>
      </c>
      <c r="L19">
        <v>1177032960</v>
      </c>
      <c r="M19" t="s">
        <v>1314</v>
      </c>
      <c r="N19">
        <v>4.5</v>
      </c>
      <c r="O19">
        <v>3</v>
      </c>
      <c r="P19">
        <v>4.5</v>
      </c>
      <c r="Q19">
        <v>5.5</v>
      </c>
      <c r="R19">
        <v>4.5</v>
      </c>
      <c r="S19" t="s">
        <v>1319</v>
      </c>
    </row>
    <row r="20" spans="1:19">
      <c r="A20">
        <v>210</v>
      </c>
      <c r="B20" t="s">
        <v>1309</v>
      </c>
      <c r="C20" t="s">
        <v>402</v>
      </c>
      <c r="D20" t="s">
        <v>414</v>
      </c>
      <c r="E20" t="s">
        <v>1116</v>
      </c>
      <c r="F20" t="s">
        <v>1310</v>
      </c>
      <c r="G20">
        <v>975684918</v>
      </c>
      <c r="H20" t="s">
        <v>415</v>
      </c>
      <c r="I20">
        <v>28133</v>
      </c>
      <c r="J20" t="s">
        <v>1327</v>
      </c>
      <c r="K20" t="s">
        <v>1313</v>
      </c>
      <c r="L20">
        <v>1077036817</v>
      </c>
      <c r="M20" t="s">
        <v>1314</v>
      </c>
      <c r="N20">
        <v>5</v>
      </c>
      <c r="O20">
        <v>4</v>
      </c>
      <c r="P20">
        <v>4</v>
      </c>
      <c r="Q20">
        <v>5.5</v>
      </c>
      <c r="R20">
        <v>5.5</v>
      </c>
      <c r="S20" t="s">
        <v>1319</v>
      </c>
    </row>
    <row r="21" spans="1:19">
      <c r="A21">
        <v>214</v>
      </c>
      <c r="B21" t="s">
        <v>1309</v>
      </c>
      <c r="C21" t="s">
        <v>419</v>
      </c>
      <c r="D21" t="s">
        <v>420</v>
      </c>
      <c r="E21" t="s">
        <v>1128</v>
      </c>
      <c r="F21" t="s">
        <v>1310</v>
      </c>
      <c r="G21">
        <v>388450376</v>
      </c>
      <c r="H21" t="s">
        <v>421</v>
      </c>
      <c r="I21" t="s">
        <v>1332</v>
      </c>
      <c r="J21" t="s">
        <v>1327</v>
      </c>
      <c r="K21" t="s">
        <v>1313</v>
      </c>
      <c r="L21">
        <v>1076003003</v>
      </c>
      <c r="M21" t="s">
        <v>1314</v>
      </c>
      <c r="N21">
        <v>5.5</v>
      </c>
      <c r="O21">
        <v>5</v>
      </c>
      <c r="P21">
        <v>6</v>
      </c>
      <c r="Q21">
        <v>6</v>
      </c>
      <c r="R21">
        <v>5</v>
      </c>
      <c r="S21" t="s">
        <v>1321</v>
      </c>
    </row>
    <row r="22" spans="1:19">
      <c r="A22">
        <v>217</v>
      </c>
      <c r="B22" t="s">
        <v>1309</v>
      </c>
      <c r="C22" t="s">
        <v>419</v>
      </c>
      <c r="D22" t="s">
        <v>425</v>
      </c>
      <c r="E22" t="s">
        <v>1098</v>
      </c>
      <c r="F22" t="s">
        <v>1310</v>
      </c>
      <c r="G22">
        <v>367818233</v>
      </c>
      <c r="H22" t="s">
        <v>426</v>
      </c>
      <c r="I22" t="s">
        <v>1333</v>
      </c>
      <c r="J22" t="s">
        <v>1312</v>
      </c>
      <c r="K22" t="s">
        <v>1313</v>
      </c>
      <c r="L22">
        <v>34178005875</v>
      </c>
      <c r="M22" t="s">
        <v>1314</v>
      </c>
      <c r="N22">
        <v>4.5</v>
      </c>
      <c r="O22">
        <v>3.5</v>
      </c>
      <c r="P22">
        <v>4.5</v>
      </c>
      <c r="Q22">
        <v>5.5</v>
      </c>
      <c r="R22">
        <v>4</v>
      </c>
      <c r="S22" t="s">
        <v>1319</v>
      </c>
    </row>
    <row r="23" spans="1:19">
      <c r="A23">
        <v>226</v>
      </c>
      <c r="B23" t="s">
        <v>1309</v>
      </c>
      <c r="C23" t="s">
        <v>419</v>
      </c>
      <c r="D23" t="s">
        <v>431</v>
      </c>
      <c r="E23" t="s">
        <v>1102</v>
      </c>
      <c r="F23" t="s">
        <v>1310</v>
      </c>
      <c r="G23">
        <v>987307306</v>
      </c>
      <c r="H23" t="s">
        <v>432</v>
      </c>
      <c r="I23" t="s">
        <v>1334</v>
      </c>
      <c r="J23" t="s">
        <v>1327</v>
      </c>
      <c r="K23" t="s">
        <v>1313</v>
      </c>
      <c r="L23">
        <v>1079033488</v>
      </c>
      <c r="M23" t="s">
        <v>1314</v>
      </c>
      <c r="N23" t="s">
        <v>1335</v>
      </c>
      <c r="O23" t="s">
        <v>1335</v>
      </c>
      <c r="P23" t="s">
        <v>1335</v>
      </c>
      <c r="Q23" t="s">
        <v>1335</v>
      </c>
      <c r="R23" t="s">
        <v>1335</v>
      </c>
      <c r="S23" t="s">
        <v>1335</v>
      </c>
    </row>
    <row r="24" spans="1:19">
      <c r="A24">
        <v>227</v>
      </c>
      <c r="B24" t="s">
        <v>1309</v>
      </c>
      <c r="C24" t="s">
        <v>419</v>
      </c>
      <c r="D24" t="s">
        <v>438</v>
      </c>
      <c r="E24" t="s">
        <v>1124</v>
      </c>
      <c r="F24" t="s">
        <v>1310</v>
      </c>
      <c r="G24">
        <v>982134533</v>
      </c>
      <c r="H24" t="s">
        <v>439</v>
      </c>
      <c r="I24">
        <v>28491</v>
      </c>
      <c r="J24" t="s">
        <v>1312</v>
      </c>
      <c r="K24" t="s">
        <v>1313</v>
      </c>
      <c r="L24">
        <v>2178000027</v>
      </c>
      <c r="M24" t="s">
        <v>1314</v>
      </c>
      <c r="N24">
        <v>5.5</v>
      </c>
      <c r="O24">
        <v>5</v>
      </c>
      <c r="P24">
        <v>5.5</v>
      </c>
      <c r="Q24">
        <v>6</v>
      </c>
      <c r="R24">
        <v>5</v>
      </c>
      <c r="S24" t="s">
        <v>1321</v>
      </c>
    </row>
    <row r="25" spans="1:19">
      <c r="A25">
        <v>243</v>
      </c>
      <c r="B25" t="s">
        <v>1309</v>
      </c>
      <c r="C25" t="s">
        <v>419</v>
      </c>
      <c r="D25" t="s">
        <v>449</v>
      </c>
      <c r="E25" t="s">
        <v>1100</v>
      </c>
      <c r="F25" t="s">
        <v>1310</v>
      </c>
      <c r="G25">
        <v>983290903</v>
      </c>
      <c r="H25" t="s">
        <v>450</v>
      </c>
      <c r="I25">
        <v>28371</v>
      </c>
      <c r="J25" t="s">
        <v>1327</v>
      </c>
      <c r="K25" t="s">
        <v>1313</v>
      </c>
      <c r="L25">
        <v>1077040753</v>
      </c>
      <c r="M25" t="s">
        <v>1314</v>
      </c>
      <c r="N25" t="s">
        <v>1335</v>
      </c>
      <c r="R25" t="s">
        <v>1335</v>
      </c>
      <c r="S25" t="s">
        <v>1335</v>
      </c>
    </row>
    <row r="26" spans="1:19">
      <c r="A26">
        <v>244</v>
      </c>
      <c r="B26" t="s">
        <v>1309</v>
      </c>
      <c r="C26" t="s">
        <v>419</v>
      </c>
      <c r="D26" t="s">
        <v>455</v>
      </c>
      <c r="E26" t="s">
        <v>1131</v>
      </c>
      <c r="F26" t="s">
        <v>1310</v>
      </c>
      <c r="G26">
        <v>967932583</v>
      </c>
      <c r="H26" t="s">
        <v>456</v>
      </c>
      <c r="I26">
        <v>29593</v>
      </c>
      <c r="J26" t="s">
        <v>1312</v>
      </c>
      <c r="K26" t="s">
        <v>1313</v>
      </c>
      <c r="L26">
        <v>26181006803</v>
      </c>
      <c r="M26" t="s">
        <v>1314</v>
      </c>
      <c r="N26">
        <v>5</v>
      </c>
      <c r="O26">
        <v>4</v>
      </c>
      <c r="P26">
        <v>5.5</v>
      </c>
      <c r="Q26">
        <v>6</v>
      </c>
      <c r="R26">
        <v>5</v>
      </c>
      <c r="S26" t="s">
        <v>1319</v>
      </c>
    </row>
    <row r="27" spans="1:19">
      <c r="A27">
        <v>250</v>
      </c>
      <c r="B27" t="s">
        <v>1309</v>
      </c>
      <c r="C27" t="s">
        <v>419</v>
      </c>
      <c r="D27" t="s">
        <v>458</v>
      </c>
      <c r="E27" t="s">
        <v>1105</v>
      </c>
      <c r="F27" t="s">
        <v>1310</v>
      </c>
      <c r="G27">
        <v>987380879</v>
      </c>
      <c r="H27" t="s">
        <v>459</v>
      </c>
      <c r="I27" t="s">
        <v>1336</v>
      </c>
      <c r="J27" t="s">
        <v>1312</v>
      </c>
      <c r="K27" t="s">
        <v>1313</v>
      </c>
      <c r="L27">
        <v>1176033068</v>
      </c>
      <c r="M27" t="s">
        <v>1314</v>
      </c>
      <c r="N27">
        <v>5</v>
      </c>
      <c r="O27">
        <v>4</v>
      </c>
      <c r="P27">
        <v>5.5</v>
      </c>
      <c r="Q27">
        <v>5.5</v>
      </c>
      <c r="R27">
        <v>5.5</v>
      </c>
      <c r="S27" t="s">
        <v>1319</v>
      </c>
    </row>
    <row r="28" spans="1:19">
      <c r="A28">
        <v>272</v>
      </c>
      <c r="B28" t="s">
        <v>1309</v>
      </c>
      <c r="C28" t="s">
        <v>419</v>
      </c>
      <c r="D28" t="s">
        <v>463</v>
      </c>
      <c r="E28" t="s">
        <v>1107</v>
      </c>
      <c r="F28" t="s">
        <v>1310</v>
      </c>
      <c r="G28">
        <v>962059966</v>
      </c>
      <c r="H28" t="s">
        <v>464</v>
      </c>
      <c r="I28" t="s">
        <v>1320</v>
      </c>
      <c r="J28" t="s">
        <v>1312</v>
      </c>
      <c r="K28" t="s">
        <v>1313</v>
      </c>
      <c r="L28">
        <v>1177017369</v>
      </c>
      <c r="M28" t="s">
        <v>1314</v>
      </c>
      <c r="N28">
        <v>4.5</v>
      </c>
      <c r="O28">
        <v>4</v>
      </c>
      <c r="P28">
        <v>4.5</v>
      </c>
      <c r="Q28">
        <v>5.5</v>
      </c>
      <c r="R28">
        <v>4</v>
      </c>
      <c r="S28" t="s">
        <v>1319</v>
      </c>
    </row>
    <row r="29" spans="1:19">
      <c r="A29">
        <v>274</v>
      </c>
      <c r="B29" t="s">
        <v>1309</v>
      </c>
      <c r="C29" t="s">
        <v>419</v>
      </c>
      <c r="D29" t="s">
        <v>468</v>
      </c>
      <c r="E29" t="s">
        <v>663</v>
      </c>
      <c r="F29" t="s">
        <v>1310</v>
      </c>
      <c r="G29">
        <v>989859935</v>
      </c>
      <c r="H29" t="s">
        <v>470</v>
      </c>
      <c r="I29">
        <v>27918</v>
      </c>
      <c r="J29" t="s">
        <v>1312</v>
      </c>
      <c r="K29" t="s">
        <v>1313</v>
      </c>
      <c r="L29">
        <v>1176048717</v>
      </c>
      <c r="M29" t="s">
        <v>1314</v>
      </c>
      <c r="N29">
        <v>4</v>
      </c>
      <c r="O29">
        <v>4</v>
      </c>
      <c r="P29">
        <v>3.5</v>
      </c>
      <c r="Q29">
        <v>5</v>
      </c>
      <c r="R29">
        <v>4</v>
      </c>
      <c r="S29" t="s">
        <v>1319</v>
      </c>
    </row>
    <row r="30" spans="1:19">
      <c r="A30">
        <v>282</v>
      </c>
      <c r="B30" t="s">
        <v>1309</v>
      </c>
      <c r="C30" t="s">
        <v>419</v>
      </c>
      <c r="D30" t="s">
        <v>1337</v>
      </c>
      <c r="E30" t="s">
        <v>1155</v>
      </c>
      <c r="F30" t="s">
        <v>1310</v>
      </c>
      <c r="G30">
        <v>983322900</v>
      </c>
      <c r="H30" t="s">
        <v>475</v>
      </c>
      <c r="I30" t="s">
        <v>1338</v>
      </c>
      <c r="J30" t="s">
        <v>1312</v>
      </c>
      <c r="K30" t="s">
        <v>1313</v>
      </c>
      <c r="L30">
        <v>1184025932</v>
      </c>
      <c r="M30" t="s">
        <v>1314</v>
      </c>
      <c r="N30">
        <v>4.5</v>
      </c>
      <c r="O30">
        <v>3.5</v>
      </c>
      <c r="P30">
        <v>4</v>
      </c>
      <c r="Q30">
        <v>6</v>
      </c>
      <c r="R30">
        <v>5</v>
      </c>
      <c r="S30" t="s">
        <v>1319</v>
      </c>
    </row>
    <row r="31" spans="1:19">
      <c r="A31">
        <v>295</v>
      </c>
      <c r="B31" t="s">
        <v>1309</v>
      </c>
      <c r="C31" t="s">
        <v>419</v>
      </c>
      <c r="D31" t="s">
        <v>1339</v>
      </c>
      <c r="E31" t="s">
        <v>1170</v>
      </c>
      <c r="F31" t="s">
        <v>1310</v>
      </c>
      <c r="G31">
        <v>368600286</v>
      </c>
      <c r="H31" t="s">
        <v>481</v>
      </c>
      <c r="I31" t="s">
        <v>1340</v>
      </c>
      <c r="J31" t="s">
        <v>1312</v>
      </c>
      <c r="K31" t="s">
        <v>1313</v>
      </c>
      <c r="L31">
        <v>1178021868</v>
      </c>
      <c r="M31" t="s">
        <v>1314</v>
      </c>
      <c r="N31">
        <v>6</v>
      </c>
      <c r="O31">
        <v>5.5</v>
      </c>
      <c r="P31">
        <v>6.5</v>
      </c>
      <c r="Q31">
        <v>6</v>
      </c>
      <c r="R31">
        <v>5.5</v>
      </c>
      <c r="S31" t="s">
        <v>1321</v>
      </c>
    </row>
    <row r="32" spans="1:19">
      <c r="A32">
        <v>304</v>
      </c>
      <c r="B32" t="s">
        <v>1309</v>
      </c>
      <c r="C32" t="s">
        <v>419</v>
      </c>
      <c r="D32" t="s">
        <v>486</v>
      </c>
      <c r="E32" t="s">
        <v>1092</v>
      </c>
      <c r="F32" t="s">
        <v>1310</v>
      </c>
      <c r="G32">
        <v>983985218</v>
      </c>
      <c r="H32" t="s">
        <v>487</v>
      </c>
      <c r="I32" t="s">
        <v>1341</v>
      </c>
      <c r="J32" t="s">
        <v>1312</v>
      </c>
      <c r="K32" t="s">
        <v>1313</v>
      </c>
      <c r="L32">
        <v>35185004411</v>
      </c>
      <c r="M32" t="s">
        <v>1314</v>
      </c>
      <c r="N32">
        <v>5</v>
      </c>
      <c r="O32">
        <v>4</v>
      </c>
      <c r="P32">
        <v>5.5</v>
      </c>
      <c r="Q32">
        <v>5.5</v>
      </c>
      <c r="R32">
        <v>4.5</v>
      </c>
      <c r="S32" t="s">
        <v>1319</v>
      </c>
    </row>
    <row r="33" spans="1:19">
      <c r="A33">
        <v>310</v>
      </c>
      <c r="B33" t="s">
        <v>1309</v>
      </c>
      <c r="C33" t="s">
        <v>419</v>
      </c>
      <c r="D33" t="s">
        <v>491</v>
      </c>
      <c r="E33" t="s">
        <v>1066</v>
      </c>
      <c r="F33" t="s">
        <v>1310</v>
      </c>
      <c r="G33">
        <v>984351978</v>
      </c>
      <c r="H33" t="s">
        <v>492</v>
      </c>
      <c r="I33" t="s">
        <v>1342</v>
      </c>
      <c r="J33" t="s">
        <v>1312</v>
      </c>
      <c r="K33" t="s">
        <v>1313</v>
      </c>
      <c r="L33">
        <v>1178029456</v>
      </c>
      <c r="M33" t="s">
        <v>1314</v>
      </c>
      <c r="N33" t="s">
        <v>1335</v>
      </c>
      <c r="R33" t="s">
        <v>1335</v>
      </c>
      <c r="S33" t="s">
        <v>1335</v>
      </c>
    </row>
    <row r="34" spans="1:19">
      <c r="A34">
        <v>313</v>
      </c>
      <c r="B34" t="s">
        <v>1309</v>
      </c>
      <c r="C34" t="s">
        <v>419</v>
      </c>
      <c r="D34" t="s">
        <v>496</v>
      </c>
      <c r="E34" t="s">
        <v>1120</v>
      </c>
      <c r="F34" t="s">
        <v>1310</v>
      </c>
      <c r="G34">
        <v>963039411</v>
      </c>
      <c r="H34" t="s">
        <v>497</v>
      </c>
      <c r="I34" t="s">
        <v>1343</v>
      </c>
      <c r="J34" t="s">
        <v>1312</v>
      </c>
      <c r="K34" t="s">
        <v>1313</v>
      </c>
      <c r="L34">
        <v>1176053581</v>
      </c>
      <c r="M34" t="s">
        <v>1314</v>
      </c>
      <c r="N34">
        <v>5.5</v>
      </c>
      <c r="O34">
        <v>5</v>
      </c>
      <c r="P34">
        <v>5</v>
      </c>
      <c r="Q34">
        <v>6</v>
      </c>
      <c r="R34">
        <v>5</v>
      </c>
      <c r="S34" t="s">
        <v>1321</v>
      </c>
    </row>
    <row r="35" spans="1:19">
      <c r="A35">
        <v>317</v>
      </c>
      <c r="B35" t="s">
        <v>1309</v>
      </c>
      <c r="C35" t="s">
        <v>419</v>
      </c>
      <c r="D35" t="s">
        <v>501</v>
      </c>
      <c r="E35" t="s">
        <v>1133</v>
      </c>
      <c r="F35" t="s">
        <v>1310</v>
      </c>
      <c r="G35">
        <v>383636998</v>
      </c>
      <c r="H35" t="s">
        <v>502</v>
      </c>
      <c r="I35">
        <v>28738</v>
      </c>
      <c r="J35" t="s">
        <v>1312</v>
      </c>
      <c r="K35" t="s">
        <v>1313</v>
      </c>
      <c r="L35">
        <v>1178003953</v>
      </c>
      <c r="M35" t="s">
        <v>1314</v>
      </c>
      <c r="N35">
        <v>6.5</v>
      </c>
      <c r="O35">
        <v>5.5</v>
      </c>
      <c r="P35">
        <v>8.5</v>
      </c>
      <c r="Q35">
        <v>6.5</v>
      </c>
      <c r="R35">
        <v>5.5</v>
      </c>
      <c r="S35" t="s">
        <v>1321</v>
      </c>
    </row>
    <row r="36" spans="1:19">
      <c r="A36">
        <v>322</v>
      </c>
      <c r="B36" t="s">
        <v>1309</v>
      </c>
      <c r="C36" t="s">
        <v>419</v>
      </c>
      <c r="D36" t="s">
        <v>506</v>
      </c>
      <c r="E36" t="s">
        <v>1136</v>
      </c>
      <c r="F36" t="s">
        <v>1310</v>
      </c>
      <c r="G36">
        <v>985559286</v>
      </c>
      <c r="H36" t="s">
        <v>507</v>
      </c>
      <c r="I36" t="s">
        <v>1344</v>
      </c>
      <c r="J36" t="s">
        <v>1312</v>
      </c>
      <c r="K36" t="s">
        <v>1313</v>
      </c>
      <c r="L36">
        <v>1186019155</v>
      </c>
      <c r="M36" t="s">
        <v>1314</v>
      </c>
      <c r="N36">
        <v>5</v>
      </c>
      <c r="O36">
        <v>4</v>
      </c>
      <c r="P36">
        <v>6</v>
      </c>
      <c r="Q36">
        <v>6</v>
      </c>
      <c r="R36">
        <v>4.5</v>
      </c>
      <c r="S36" t="s">
        <v>1319</v>
      </c>
    </row>
    <row r="37" spans="1:19">
      <c r="A37">
        <v>326</v>
      </c>
      <c r="B37" t="s">
        <v>1309</v>
      </c>
      <c r="C37" t="s">
        <v>419</v>
      </c>
      <c r="D37" t="s">
        <v>511</v>
      </c>
      <c r="E37" t="s">
        <v>1097</v>
      </c>
      <c r="F37" t="s">
        <v>1310</v>
      </c>
      <c r="G37">
        <v>968029869</v>
      </c>
      <c r="H37" t="s">
        <v>512</v>
      </c>
      <c r="I37" t="s">
        <v>1320</v>
      </c>
      <c r="J37" t="s">
        <v>1312</v>
      </c>
      <c r="K37" t="s">
        <v>1313</v>
      </c>
      <c r="L37">
        <v>1178010346</v>
      </c>
      <c r="M37" t="s">
        <v>1314</v>
      </c>
      <c r="N37">
        <v>5</v>
      </c>
      <c r="O37">
        <v>4.5</v>
      </c>
      <c r="P37">
        <v>4.5</v>
      </c>
      <c r="Q37">
        <v>5.5</v>
      </c>
      <c r="R37">
        <v>5.5</v>
      </c>
      <c r="S37" t="s">
        <v>1319</v>
      </c>
    </row>
    <row r="38" spans="1:19">
      <c r="A38">
        <v>334</v>
      </c>
      <c r="B38" t="s">
        <v>1309</v>
      </c>
      <c r="C38" t="s">
        <v>419</v>
      </c>
      <c r="D38" t="s">
        <v>516</v>
      </c>
      <c r="E38" t="s">
        <v>664</v>
      </c>
      <c r="F38" t="s">
        <v>1310</v>
      </c>
      <c r="G38">
        <v>966363111</v>
      </c>
      <c r="H38" t="s">
        <v>517</v>
      </c>
      <c r="I38">
        <v>27920</v>
      </c>
      <c r="J38" t="s">
        <v>1312</v>
      </c>
      <c r="K38" t="s">
        <v>1313</v>
      </c>
      <c r="L38">
        <v>1176040670</v>
      </c>
      <c r="M38" t="s">
        <v>1314</v>
      </c>
      <c r="N38">
        <v>4.5</v>
      </c>
      <c r="O38">
        <v>3.5</v>
      </c>
      <c r="P38">
        <v>4.5</v>
      </c>
      <c r="Q38">
        <v>5</v>
      </c>
      <c r="R38">
        <v>4</v>
      </c>
      <c r="S38" t="s">
        <v>1319</v>
      </c>
    </row>
    <row r="39" spans="1:19">
      <c r="A39">
        <v>335</v>
      </c>
      <c r="B39" t="s">
        <v>1309</v>
      </c>
      <c r="C39" t="s">
        <v>419</v>
      </c>
      <c r="D39" t="s">
        <v>521</v>
      </c>
      <c r="E39" t="s">
        <v>1121</v>
      </c>
      <c r="F39" t="s">
        <v>1310</v>
      </c>
      <c r="G39">
        <v>396438297</v>
      </c>
      <c r="H39" t="s">
        <v>522</v>
      </c>
      <c r="I39" t="s">
        <v>1320</v>
      </c>
      <c r="J39" t="s">
        <v>1312</v>
      </c>
      <c r="K39" t="s">
        <v>1313</v>
      </c>
      <c r="L39">
        <v>1180020741</v>
      </c>
      <c r="M39" t="s">
        <v>1314</v>
      </c>
      <c r="N39">
        <v>5</v>
      </c>
      <c r="O39">
        <v>4</v>
      </c>
      <c r="P39">
        <v>4.5</v>
      </c>
      <c r="Q39">
        <v>6</v>
      </c>
      <c r="R39">
        <v>5.5</v>
      </c>
      <c r="S39" t="s">
        <v>1319</v>
      </c>
    </row>
    <row r="40" spans="1:19">
      <c r="A40">
        <v>343</v>
      </c>
      <c r="B40" t="s">
        <v>1309</v>
      </c>
      <c r="C40" t="s">
        <v>419</v>
      </c>
      <c r="D40" t="s">
        <v>526</v>
      </c>
      <c r="E40" t="s">
        <v>1118</v>
      </c>
      <c r="F40" t="s">
        <v>1310</v>
      </c>
      <c r="G40">
        <v>964927026</v>
      </c>
      <c r="H40" t="s">
        <v>527</v>
      </c>
      <c r="I40" t="s">
        <v>1345</v>
      </c>
      <c r="J40" t="s">
        <v>1312</v>
      </c>
      <c r="K40" t="s">
        <v>1313</v>
      </c>
      <c r="L40">
        <v>1194006005</v>
      </c>
      <c r="M40" t="s">
        <v>1314</v>
      </c>
      <c r="N40">
        <v>5</v>
      </c>
      <c r="O40">
        <v>4</v>
      </c>
      <c r="P40">
        <v>5.5</v>
      </c>
      <c r="Q40">
        <v>6</v>
      </c>
      <c r="R40">
        <v>5</v>
      </c>
      <c r="S40" t="s">
        <v>1319</v>
      </c>
    </row>
    <row r="41" spans="1:19">
      <c r="A41">
        <v>377</v>
      </c>
      <c r="B41" t="s">
        <v>1309</v>
      </c>
      <c r="C41" t="s">
        <v>419</v>
      </c>
      <c r="D41" t="s">
        <v>535</v>
      </c>
      <c r="E41" t="s">
        <v>665</v>
      </c>
      <c r="F41" t="s">
        <v>1310</v>
      </c>
      <c r="G41">
        <v>984681216</v>
      </c>
      <c r="H41" t="s">
        <v>536</v>
      </c>
      <c r="I41" t="s">
        <v>1346</v>
      </c>
      <c r="J41" t="s">
        <v>1312</v>
      </c>
      <c r="K41" t="s">
        <v>1313</v>
      </c>
      <c r="L41">
        <v>1175014156</v>
      </c>
      <c r="M41" t="s">
        <v>1314</v>
      </c>
      <c r="N41">
        <v>4.5</v>
      </c>
      <c r="O41">
        <v>3</v>
      </c>
      <c r="P41">
        <v>4.5</v>
      </c>
      <c r="Q41">
        <v>5.5</v>
      </c>
      <c r="R41">
        <v>4.5</v>
      </c>
      <c r="S41" t="s">
        <v>1319</v>
      </c>
    </row>
    <row r="42" spans="1:19">
      <c r="A42">
        <v>389</v>
      </c>
      <c r="B42" t="s">
        <v>1309</v>
      </c>
      <c r="C42" t="s">
        <v>419</v>
      </c>
      <c r="D42" t="s">
        <v>1347</v>
      </c>
      <c r="E42" t="s">
        <v>1151</v>
      </c>
      <c r="F42" t="s">
        <v>1310</v>
      </c>
      <c r="G42">
        <v>982851438</v>
      </c>
      <c r="H42" t="s">
        <v>542</v>
      </c>
      <c r="I42" t="s">
        <v>1348</v>
      </c>
      <c r="J42" t="s">
        <v>1327</v>
      </c>
      <c r="K42" t="s">
        <v>1313</v>
      </c>
      <c r="L42">
        <v>1079050226</v>
      </c>
      <c r="M42" t="s">
        <v>1314</v>
      </c>
      <c r="N42">
        <v>5</v>
      </c>
      <c r="O42">
        <v>4.5</v>
      </c>
      <c r="P42">
        <v>5</v>
      </c>
      <c r="Q42">
        <v>5.5</v>
      </c>
      <c r="R42">
        <v>5</v>
      </c>
      <c r="S42" t="s">
        <v>1319</v>
      </c>
    </row>
    <row r="43" spans="1:19">
      <c r="A43">
        <v>391</v>
      </c>
      <c r="B43" t="s">
        <v>1309</v>
      </c>
      <c r="C43" t="s">
        <v>419</v>
      </c>
      <c r="D43" t="s">
        <v>546</v>
      </c>
      <c r="E43" t="s">
        <v>1111</v>
      </c>
      <c r="F43" t="s">
        <v>1310</v>
      </c>
      <c r="G43">
        <v>972512077</v>
      </c>
      <c r="H43" t="s">
        <v>547</v>
      </c>
      <c r="I43" t="s">
        <v>1320</v>
      </c>
      <c r="J43" t="s">
        <v>1327</v>
      </c>
      <c r="K43" t="s">
        <v>1313</v>
      </c>
      <c r="L43">
        <v>1077024738</v>
      </c>
      <c r="M43" t="s">
        <v>1314</v>
      </c>
      <c r="N43">
        <v>4.5</v>
      </c>
      <c r="O43">
        <v>3.5</v>
      </c>
      <c r="P43">
        <v>4</v>
      </c>
      <c r="Q43">
        <v>5.5</v>
      </c>
      <c r="R43">
        <v>4.5</v>
      </c>
      <c r="S43" t="s">
        <v>1319</v>
      </c>
    </row>
    <row r="44" spans="1:19">
      <c r="A44">
        <v>394</v>
      </c>
      <c r="B44" t="s">
        <v>1309</v>
      </c>
      <c r="C44" t="s">
        <v>551</v>
      </c>
      <c r="D44" t="s">
        <v>1349</v>
      </c>
      <c r="E44" t="s">
        <v>1187</v>
      </c>
      <c r="F44" t="s">
        <v>1310</v>
      </c>
      <c r="G44">
        <v>978128811</v>
      </c>
      <c r="H44" t="s">
        <v>553</v>
      </c>
      <c r="I44" t="s">
        <v>1350</v>
      </c>
      <c r="J44" t="s">
        <v>1312</v>
      </c>
      <c r="K44" t="s">
        <v>1313</v>
      </c>
      <c r="L44">
        <v>1177009345</v>
      </c>
      <c r="M44" t="s">
        <v>1314</v>
      </c>
      <c r="N44">
        <v>5.5</v>
      </c>
      <c r="O44">
        <v>4.5</v>
      </c>
      <c r="P44">
        <v>5.5</v>
      </c>
      <c r="Q44">
        <v>6</v>
      </c>
      <c r="R44">
        <v>6</v>
      </c>
      <c r="S44" t="s">
        <v>1321</v>
      </c>
    </row>
    <row r="45" spans="1:19">
      <c r="A45">
        <v>397</v>
      </c>
      <c r="B45" t="s">
        <v>1309</v>
      </c>
      <c r="C45" t="s">
        <v>557</v>
      </c>
      <c r="D45" t="s">
        <v>558</v>
      </c>
      <c r="E45" t="s">
        <v>1094</v>
      </c>
      <c r="F45" t="s">
        <v>1310</v>
      </c>
      <c r="G45">
        <v>379908976</v>
      </c>
      <c r="H45" t="s">
        <v>559</v>
      </c>
      <c r="I45" t="s">
        <v>1320</v>
      </c>
      <c r="J45" t="s">
        <v>1312</v>
      </c>
      <c r="K45" t="s">
        <v>1313</v>
      </c>
      <c r="L45">
        <v>1176046134</v>
      </c>
      <c r="M45" t="s">
        <v>1314</v>
      </c>
      <c r="N45">
        <v>4.5</v>
      </c>
      <c r="O45">
        <v>3.5</v>
      </c>
      <c r="P45">
        <v>4.5</v>
      </c>
      <c r="Q45">
        <v>5.5</v>
      </c>
      <c r="R45">
        <v>5</v>
      </c>
      <c r="S45" t="s">
        <v>1319</v>
      </c>
    </row>
    <row r="46" spans="1:19">
      <c r="A46">
        <v>401</v>
      </c>
      <c r="B46" t="s">
        <v>1309</v>
      </c>
      <c r="C46" t="s">
        <v>557</v>
      </c>
      <c r="D46" t="s">
        <v>567</v>
      </c>
      <c r="E46" t="s">
        <v>1127</v>
      </c>
      <c r="F46" t="s">
        <v>1310</v>
      </c>
      <c r="G46">
        <v>989487205</v>
      </c>
      <c r="H46" t="s">
        <v>568</v>
      </c>
      <c r="I46" t="s">
        <v>1351</v>
      </c>
      <c r="J46" t="s">
        <v>1312</v>
      </c>
      <c r="K46" t="s">
        <v>1313</v>
      </c>
      <c r="L46">
        <v>1179028050</v>
      </c>
      <c r="M46" t="s">
        <v>1314</v>
      </c>
      <c r="N46">
        <v>5</v>
      </c>
      <c r="O46">
        <v>3.5</v>
      </c>
      <c r="P46">
        <v>6</v>
      </c>
      <c r="Q46">
        <v>5</v>
      </c>
      <c r="R46">
        <v>5.5</v>
      </c>
      <c r="S46" t="s">
        <v>1319</v>
      </c>
    </row>
    <row r="47" spans="1:19">
      <c r="A47">
        <v>420</v>
      </c>
      <c r="B47" t="s">
        <v>1309</v>
      </c>
      <c r="C47" t="s">
        <v>577</v>
      </c>
      <c r="D47" t="s">
        <v>578</v>
      </c>
      <c r="E47" t="s">
        <v>1134</v>
      </c>
      <c r="F47" t="s">
        <v>1310</v>
      </c>
      <c r="G47">
        <v>904089860</v>
      </c>
      <c r="H47" t="s">
        <v>579</v>
      </c>
      <c r="I47" t="s">
        <v>1320</v>
      </c>
      <c r="J47" t="s">
        <v>1312</v>
      </c>
      <c r="K47" t="s">
        <v>1313</v>
      </c>
      <c r="L47">
        <v>1180056849</v>
      </c>
      <c r="M47" t="s">
        <v>1314</v>
      </c>
      <c r="N47">
        <v>6</v>
      </c>
      <c r="O47">
        <v>5</v>
      </c>
      <c r="P47">
        <v>6.5</v>
      </c>
      <c r="Q47">
        <v>6</v>
      </c>
      <c r="R47">
        <v>6</v>
      </c>
      <c r="S47" t="s">
        <v>1321</v>
      </c>
    </row>
    <row r="48" spans="1:19">
      <c r="A48">
        <v>424</v>
      </c>
      <c r="B48" t="s">
        <v>1309</v>
      </c>
      <c r="C48" t="s">
        <v>583</v>
      </c>
      <c r="D48" t="s">
        <v>584</v>
      </c>
      <c r="E48" t="s">
        <v>667</v>
      </c>
      <c r="F48" t="s">
        <v>1310</v>
      </c>
      <c r="G48">
        <v>389690842</v>
      </c>
      <c r="H48" t="s">
        <v>585</v>
      </c>
      <c r="I48" t="s">
        <v>1352</v>
      </c>
      <c r="J48" t="s">
        <v>1312</v>
      </c>
      <c r="K48" t="s">
        <v>1313</v>
      </c>
      <c r="L48">
        <v>1177009537</v>
      </c>
      <c r="M48" t="s">
        <v>1314</v>
      </c>
      <c r="N48">
        <v>4</v>
      </c>
      <c r="O48">
        <v>3.5</v>
      </c>
      <c r="P48">
        <v>4.5</v>
      </c>
      <c r="Q48">
        <v>5</v>
      </c>
      <c r="R48">
        <v>3.5</v>
      </c>
      <c r="S48" t="s">
        <v>1319</v>
      </c>
    </row>
    <row r="49" spans="1:19">
      <c r="A49">
        <v>432</v>
      </c>
      <c r="B49" t="s">
        <v>1309</v>
      </c>
      <c r="C49" t="s">
        <v>589</v>
      </c>
      <c r="D49" t="s">
        <v>590</v>
      </c>
      <c r="E49" t="s">
        <v>1106</v>
      </c>
      <c r="F49" t="s">
        <v>1310</v>
      </c>
      <c r="G49">
        <v>973103979</v>
      </c>
      <c r="H49" t="s">
        <v>591</v>
      </c>
      <c r="I49">
        <v>27578</v>
      </c>
      <c r="J49" t="s">
        <v>1327</v>
      </c>
      <c r="K49" t="s">
        <v>1313</v>
      </c>
      <c r="L49">
        <v>1075010580</v>
      </c>
      <c r="M49" t="s">
        <v>1314</v>
      </c>
      <c r="N49">
        <v>4.5</v>
      </c>
      <c r="O49">
        <v>4</v>
      </c>
      <c r="P49">
        <v>4.5</v>
      </c>
      <c r="Q49">
        <v>5.5</v>
      </c>
      <c r="R49">
        <v>4</v>
      </c>
      <c r="S49" t="s">
        <v>1319</v>
      </c>
    </row>
    <row r="50" spans="1:19">
      <c r="A50">
        <v>445</v>
      </c>
      <c r="B50" t="s">
        <v>1309</v>
      </c>
      <c r="C50" t="s">
        <v>595</v>
      </c>
      <c r="D50" t="s">
        <v>607</v>
      </c>
      <c r="E50" t="s">
        <v>1117</v>
      </c>
      <c r="F50" t="s">
        <v>1310</v>
      </c>
      <c r="G50">
        <v>969535875</v>
      </c>
      <c r="H50" t="s">
        <v>608</v>
      </c>
      <c r="I50" t="s">
        <v>1353</v>
      </c>
      <c r="J50" t="s">
        <v>1312</v>
      </c>
      <c r="K50" t="s">
        <v>1313</v>
      </c>
      <c r="L50">
        <v>1175023937</v>
      </c>
      <c r="M50" t="s">
        <v>1314</v>
      </c>
      <c r="N50">
        <v>5</v>
      </c>
      <c r="O50">
        <v>4.5</v>
      </c>
      <c r="P50">
        <v>5</v>
      </c>
      <c r="Q50">
        <v>5.5</v>
      </c>
      <c r="R50">
        <v>4.5</v>
      </c>
      <c r="S50" t="s">
        <v>1319</v>
      </c>
    </row>
    <row r="51" spans="1:19">
      <c r="A51">
        <v>447</v>
      </c>
      <c r="B51" t="s">
        <v>1309</v>
      </c>
      <c r="C51" t="s">
        <v>595</v>
      </c>
      <c r="D51" t="s">
        <v>612</v>
      </c>
      <c r="E51" t="s">
        <v>1109</v>
      </c>
      <c r="F51" t="s">
        <v>1310</v>
      </c>
      <c r="G51">
        <v>986332160</v>
      </c>
      <c r="H51" t="s">
        <v>613</v>
      </c>
      <c r="I51" t="s">
        <v>1320</v>
      </c>
      <c r="J51" t="s">
        <v>1312</v>
      </c>
      <c r="K51" t="s">
        <v>1313</v>
      </c>
      <c r="L51">
        <v>26179008039</v>
      </c>
      <c r="M51" t="s">
        <v>1314</v>
      </c>
      <c r="N51">
        <v>5</v>
      </c>
      <c r="O51">
        <v>3.5</v>
      </c>
      <c r="P51">
        <v>4.5</v>
      </c>
      <c r="Q51">
        <v>6</v>
      </c>
      <c r="R51">
        <v>5</v>
      </c>
      <c r="S51" t="s">
        <v>1319</v>
      </c>
    </row>
    <row r="52" spans="1:19">
      <c r="A52">
        <v>450</v>
      </c>
      <c r="B52" t="s">
        <v>1309</v>
      </c>
      <c r="C52" t="s">
        <v>595</v>
      </c>
      <c r="D52" t="s">
        <v>617</v>
      </c>
      <c r="E52" t="s">
        <v>1110</v>
      </c>
      <c r="F52" t="s">
        <v>1310</v>
      </c>
      <c r="G52">
        <v>986414558</v>
      </c>
      <c r="H52" t="s">
        <v>618</v>
      </c>
      <c r="I52" t="s">
        <v>1354</v>
      </c>
      <c r="J52" t="s">
        <v>1312</v>
      </c>
      <c r="K52" t="s">
        <v>1313</v>
      </c>
      <c r="L52">
        <v>1176004956</v>
      </c>
      <c r="M52" t="s">
        <v>1314</v>
      </c>
      <c r="N52">
        <v>4.5</v>
      </c>
      <c r="O52">
        <v>4</v>
      </c>
      <c r="P52">
        <v>3.5</v>
      </c>
      <c r="Q52">
        <v>6</v>
      </c>
      <c r="R52">
        <v>5</v>
      </c>
      <c r="S52" t="s">
        <v>1319</v>
      </c>
    </row>
    <row r="53" spans="1:19">
      <c r="A53">
        <v>456</v>
      </c>
      <c r="B53" t="s">
        <v>1309</v>
      </c>
      <c r="C53" t="s">
        <v>595</v>
      </c>
      <c r="D53" t="s">
        <v>624</v>
      </c>
      <c r="E53" t="s">
        <v>669</v>
      </c>
      <c r="F53" t="s">
        <v>1310</v>
      </c>
      <c r="G53">
        <v>977604640</v>
      </c>
      <c r="H53" t="s">
        <v>1355</v>
      </c>
      <c r="I53" t="s">
        <v>1356</v>
      </c>
      <c r="J53" t="s">
        <v>1312</v>
      </c>
      <c r="K53" t="s">
        <v>1313</v>
      </c>
      <c r="L53">
        <v>26183003026</v>
      </c>
      <c r="M53" t="s">
        <v>1314</v>
      </c>
      <c r="N53">
        <v>5</v>
      </c>
      <c r="O53">
        <v>4</v>
      </c>
      <c r="P53">
        <v>5</v>
      </c>
      <c r="Q53">
        <v>6</v>
      </c>
      <c r="R53">
        <v>4</v>
      </c>
      <c r="S53" t="s">
        <v>1319</v>
      </c>
    </row>
    <row r="54" spans="1:19">
      <c r="A54">
        <v>462</v>
      </c>
      <c r="B54" t="s">
        <v>1309</v>
      </c>
      <c r="C54" t="s">
        <v>595</v>
      </c>
      <c r="D54" t="s">
        <v>631</v>
      </c>
      <c r="E54" t="s">
        <v>668</v>
      </c>
      <c r="F54" t="s">
        <v>1310</v>
      </c>
      <c r="G54">
        <v>978933637</v>
      </c>
      <c r="H54" t="s">
        <v>597</v>
      </c>
      <c r="I54" t="s">
        <v>1320</v>
      </c>
      <c r="J54" t="s">
        <v>1312</v>
      </c>
      <c r="K54" t="s">
        <v>1313</v>
      </c>
      <c r="L54">
        <v>1177043501</v>
      </c>
      <c r="M54" t="s">
        <v>1314</v>
      </c>
      <c r="N54">
        <v>3.5</v>
      </c>
      <c r="O54">
        <v>2</v>
      </c>
      <c r="P54">
        <v>4</v>
      </c>
      <c r="Q54">
        <v>4</v>
      </c>
      <c r="R54">
        <v>4</v>
      </c>
      <c r="S54" t="s">
        <v>1315</v>
      </c>
    </row>
    <row r="55" spans="1:19">
      <c r="A55">
        <v>466</v>
      </c>
      <c r="B55" t="s">
        <v>1309</v>
      </c>
      <c r="C55" t="s">
        <v>595</v>
      </c>
      <c r="D55" t="s">
        <v>1357</v>
      </c>
      <c r="E55" t="s">
        <v>1157</v>
      </c>
      <c r="F55" t="s">
        <v>1310</v>
      </c>
      <c r="G55">
        <v>868688187</v>
      </c>
      <c r="H55" t="s">
        <v>603</v>
      </c>
      <c r="I55" t="s">
        <v>1358</v>
      </c>
      <c r="J55" t="s">
        <v>1312</v>
      </c>
      <c r="K55" t="s">
        <v>1313</v>
      </c>
      <c r="L55">
        <v>1187041867</v>
      </c>
      <c r="M55" t="s">
        <v>1314</v>
      </c>
      <c r="N55">
        <v>5.5</v>
      </c>
      <c r="O55">
        <v>4.5</v>
      </c>
      <c r="P55">
        <v>6</v>
      </c>
      <c r="Q55">
        <v>6</v>
      </c>
      <c r="R55">
        <v>5</v>
      </c>
      <c r="S55" t="s">
        <v>1321</v>
      </c>
    </row>
    <row r="56" spans="1:19">
      <c r="A56">
        <v>472</v>
      </c>
      <c r="B56" t="s">
        <v>1309</v>
      </c>
      <c r="C56" t="s">
        <v>635</v>
      </c>
      <c r="D56" t="s">
        <v>526</v>
      </c>
      <c r="E56" t="s">
        <v>1108</v>
      </c>
      <c r="F56" t="s">
        <v>1310</v>
      </c>
      <c r="G56">
        <v>966686279</v>
      </c>
      <c r="H56" t="s">
        <v>636</v>
      </c>
      <c r="I56" t="s">
        <v>1359</v>
      </c>
      <c r="J56" t="s">
        <v>1312</v>
      </c>
      <c r="K56" t="s">
        <v>1313</v>
      </c>
      <c r="L56">
        <v>1175013832</v>
      </c>
      <c r="M56" t="s">
        <v>1314</v>
      </c>
      <c r="N56" t="s">
        <v>1335</v>
      </c>
      <c r="R56" t="s">
        <v>1335</v>
      </c>
      <c r="S56" t="s">
        <v>1335</v>
      </c>
    </row>
    <row r="57" spans="1:19">
      <c r="A57">
        <v>477</v>
      </c>
      <c r="B57" t="s">
        <v>1309</v>
      </c>
      <c r="C57" t="s">
        <v>641</v>
      </c>
      <c r="D57" t="s">
        <v>526</v>
      </c>
      <c r="E57" t="s">
        <v>1185</v>
      </c>
      <c r="F57" t="s">
        <v>1310</v>
      </c>
      <c r="G57">
        <v>967808833</v>
      </c>
      <c r="H57" t="s">
        <v>643</v>
      </c>
      <c r="I57" t="s">
        <v>1360</v>
      </c>
      <c r="J57" t="s">
        <v>1312</v>
      </c>
      <c r="K57" t="s">
        <v>1313</v>
      </c>
      <c r="L57">
        <v>42178004339</v>
      </c>
      <c r="M57" t="s">
        <v>1314</v>
      </c>
      <c r="N57">
        <v>5.5</v>
      </c>
      <c r="O57">
        <v>5</v>
      </c>
      <c r="P57">
        <v>6</v>
      </c>
      <c r="Q57">
        <v>6</v>
      </c>
      <c r="R57">
        <v>5.5</v>
      </c>
      <c r="S57" t="s">
        <v>1321</v>
      </c>
    </row>
    <row r="58" spans="1:19">
      <c r="A58">
        <v>479</v>
      </c>
      <c r="B58" t="s">
        <v>1309</v>
      </c>
      <c r="C58" t="s">
        <v>648</v>
      </c>
      <c r="D58" t="s">
        <v>649</v>
      </c>
      <c r="E58" t="s">
        <v>670</v>
      </c>
      <c r="F58" t="s">
        <v>1310</v>
      </c>
      <c r="G58">
        <v>986763117</v>
      </c>
      <c r="H58" t="s">
        <v>650</v>
      </c>
      <c r="I58" t="s">
        <v>1361</v>
      </c>
      <c r="J58" t="s">
        <v>1327</v>
      </c>
      <c r="K58" t="s">
        <v>1313</v>
      </c>
      <c r="L58">
        <v>1075011375</v>
      </c>
      <c r="M58" t="s">
        <v>1314</v>
      </c>
      <c r="N58">
        <v>3.5</v>
      </c>
      <c r="O58">
        <v>2</v>
      </c>
      <c r="P58">
        <v>4.5</v>
      </c>
      <c r="Q58">
        <v>4</v>
      </c>
      <c r="R58">
        <v>4</v>
      </c>
      <c r="S58" t="s">
        <v>1315</v>
      </c>
    </row>
    <row r="59" spans="1:19">
      <c r="A59">
        <v>485</v>
      </c>
      <c r="B59" t="s">
        <v>1309</v>
      </c>
      <c r="C59" t="s">
        <v>648</v>
      </c>
      <c r="D59" t="s">
        <v>655</v>
      </c>
      <c r="E59" t="s">
        <v>1122</v>
      </c>
      <c r="F59" t="s">
        <v>1310</v>
      </c>
      <c r="G59">
        <v>982213478</v>
      </c>
      <c r="H59" t="s">
        <v>656</v>
      </c>
      <c r="I59" t="s">
        <v>1362</v>
      </c>
      <c r="J59" t="s">
        <v>1312</v>
      </c>
      <c r="K59" t="s">
        <v>1313</v>
      </c>
      <c r="L59">
        <v>1178013783</v>
      </c>
      <c r="M59" t="s">
        <v>1314</v>
      </c>
      <c r="N59">
        <v>5.5</v>
      </c>
      <c r="O59">
        <v>5.5</v>
      </c>
      <c r="P59">
        <v>6</v>
      </c>
      <c r="Q59">
        <v>5.5</v>
      </c>
      <c r="R59">
        <v>5.5</v>
      </c>
      <c r="S59" t="s">
        <v>1321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Y62"/>
  <sheetViews>
    <sheetView workbookViewId="0">
      <selection activeCell="D13" sqref="D13"/>
    </sheetView>
  </sheetViews>
  <sheetFormatPr defaultRowHeight="15"/>
  <cols>
    <col min="2" max="2" width="15" customWidth="1"/>
    <col min="3" max="3" width="18.28515625" customWidth="1"/>
    <col min="4" max="4" width="65" customWidth="1"/>
    <col min="5" max="5" width="20.5703125" customWidth="1"/>
    <col min="6" max="6" width="26.5703125" customWidth="1"/>
    <col min="7" max="7" width="25.42578125" customWidth="1"/>
    <col min="8" max="8" width="27.5703125" customWidth="1"/>
    <col min="9" max="9" width="39.85546875" customWidth="1"/>
    <col min="11" max="11" width="35.7109375" customWidth="1"/>
    <col min="12" max="12" width="28.5703125" customWidth="1"/>
    <col min="13" max="13" width="22" customWidth="1"/>
    <col min="14" max="14" width="21.140625" customWidth="1"/>
    <col min="15" max="15" width="28.140625" customWidth="1"/>
    <col min="16" max="16" width="10.42578125" customWidth="1"/>
    <col min="17" max="17" width="19.85546875" customWidth="1"/>
    <col min="18" max="18" width="24.7109375" customWidth="1"/>
    <col min="19" max="19" width="22.5703125" customWidth="1"/>
    <col min="20" max="20" width="13.42578125" customWidth="1"/>
    <col min="21" max="21" width="22.7109375" customWidth="1"/>
    <col min="22" max="22" width="18.28515625" customWidth="1"/>
    <col min="23" max="23" width="13.7109375" customWidth="1"/>
    <col min="24" max="24" width="14.5703125" customWidth="1"/>
    <col min="25" max="25" width="9.7109375" customWidth="1"/>
  </cols>
  <sheetData>
    <row r="1" spans="1:25">
      <c r="A1" t="s">
        <v>296</v>
      </c>
      <c r="B1" t="s">
        <v>297</v>
      </c>
      <c r="C1" t="s">
        <v>700</v>
      </c>
      <c r="D1" t="s">
        <v>298</v>
      </c>
      <c r="E1" t="s">
        <v>3</v>
      </c>
      <c r="F1" t="s">
        <v>299</v>
      </c>
      <c r="G1" t="s">
        <v>300</v>
      </c>
      <c r="H1" t="s">
        <v>301</v>
      </c>
      <c r="I1" t="s">
        <v>302</v>
      </c>
      <c r="J1" t="s">
        <v>1044</v>
      </c>
      <c r="K1" t="s">
        <v>303</v>
      </c>
      <c r="L1" t="s">
        <v>304</v>
      </c>
      <c r="M1" t="s">
        <v>305</v>
      </c>
      <c r="N1" t="s">
        <v>306</v>
      </c>
      <c r="O1" t="s">
        <v>701</v>
      </c>
      <c r="P1" t="s">
        <v>308</v>
      </c>
      <c r="Q1" t="s">
        <v>309</v>
      </c>
      <c r="R1" t="s">
        <v>310</v>
      </c>
      <c r="S1" t="s">
        <v>311</v>
      </c>
      <c r="T1" t="s">
        <v>702</v>
      </c>
      <c r="U1" t="s">
        <v>703</v>
      </c>
      <c r="V1" t="s">
        <v>312</v>
      </c>
      <c r="W1" t="s">
        <v>704</v>
      </c>
      <c r="X1" t="s">
        <v>705</v>
      </c>
      <c r="Y1" t="s">
        <v>706</v>
      </c>
    </row>
    <row r="2" spans="1:25">
      <c r="A2">
        <v>1</v>
      </c>
      <c r="B2">
        <v>45968.429217557874</v>
      </c>
      <c r="C2" t="s">
        <v>313</v>
      </c>
      <c r="D2" t="s">
        <v>443</v>
      </c>
      <c r="E2" t="s">
        <v>315</v>
      </c>
      <c r="F2" t="s">
        <v>531</v>
      </c>
      <c r="G2" t="s">
        <v>317</v>
      </c>
      <c r="H2" t="s">
        <v>557</v>
      </c>
      <c r="I2" t="s">
        <v>572</v>
      </c>
      <c r="J2" t="s">
        <v>1088</v>
      </c>
      <c r="K2" t="s">
        <v>320</v>
      </c>
      <c r="L2">
        <v>28180</v>
      </c>
      <c r="M2">
        <v>382460977</v>
      </c>
      <c r="N2" t="s">
        <v>573</v>
      </c>
      <c r="O2" t="s">
        <v>322</v>
      </c>
      <c r="P2" t="s">
        <v>574</v>
      </c>
      <c r="Q2">
        <v>50095</v>
      </c>
      <c r="R2" t="s">
        <v>575</v>
      </c>
      <c r="S2" t="s">
        <v>576</v>
      </c>
      <c r="W2">
        <v>45990</v>
      </c>
    </row>
    <row r="3" spans="1:25">
      <c r="A3">
        <v>2</v>
      </c>
      <c r="B3">
        <v>45968.700584212958</v>
      </c>
      <c r="C3" t="s">
        <v>313</v>
      </c>
      <c r="D3" t="s">
        <v>46</v>
      </c>
      <c r="E3" t="s">
        <v>327</v>
      </c>
      <c r="F3" t="s">
        <v>531</v>
      </c>
      <c r="G3" t="s">
        <v>317</v>
      </c>
      <c r="H3" t="s">
        <v>595</v>
      </c>
      <c r="I3" t="s">
        <v>631</v>
      </c>
      <c r="J3" t="s">
        <v>668</v>
      </c>
      <c r="K3" t="s">
        <v>320</v>
      </c>
      <c r="L3">
        <v>27870</v>
      </c>
      <c r="M3">
        <v>963690015</v>
      </c>
      <c r="N3" t="s">
        <v>632</v>
      </c>
      <c r="O3" t="s">
        <v>322</v>
      </c>
      <c r="P3" t="s">
        <v>633</v>
      </c>
      <c r="Q3">
        <v>49785</v>
      </c>
      <c r="R3" t="s">
        <v>707</v>
      </c>
      <c r="S3" t="s">
        <v>708</v>
      </c>
      <c r="W3">
        <v>45990</v>
      </c>
    </row>
    <row r="4" spans="1:25">
      <c r="A4">
        <v>3</v>
      </c>
      <c r="B4">
        <v>45968.705695879631</v>
      </c>
      <c r="C4" t="s">
        <v>313</v>
      </c>
      <c r="D4" t="s">
        <v>443</v>
      </c>
      <c r="E4" t="s">
        <v>315</v>
      </c>
      <c r="F4" t="s">
        <v>531</v>
      </c>
      <c r="G4" t="s">
        <v>317</v>
      </c>
      <c r="H4" t="s">
        <v>419</v>
      </c>
      <c r="I4" t="s">
        <v>532</v>
      </c>
      <c r="J4" t="s">
        <v>1089</v>
      </c>
      <c r="K4" t="s">
        <v>320</v>
      </c>
      <c r="L4">
        <v>27671</v>
      </c>
      <c r="M4">
        <v>989728669</v>
      </c>
      <c r="N4" t="s">
        <v>533</v>
      </c>
      <c r="O4" t="s">
        <v>322</v>
      </c>
      <c r="P4" t="s">
        <v>534</v>
      </c>
      <c r="Q4">
        <v>49586</v>
      </c>
      <c r="R4" t="s">
        <v>709</v>
      </c>
      <c r="S4" t="s">
        <v>710</v>
      </c>
      <c r="W4">
        <v>45990</v>
      </c>
    </row>
    <row r="5" spans="1:25">
      <c r="A5">
        <v>4</v>
      </c>
      <c r="B5">
        <v>45962.879871967598</v>
      </c>
      <c r="C5" t="s">
        <v>313</v>
      </c>
      <c r="D5" t="s">
        <v>408</v>
      </c>
      <c r="E5" t="s">
        <v>377</v>
      </c>
      <c r="F5" t="s">
        <v>401</v>
      </c>
      <c r="G5" t="s">
        <v>317</v>
      </c>
      <c r="H5" t="s">
        <v>402</v>
      </c>
      <c r="I5" t="s">
        <v>409</v>
      </c>
      <c r="J5" t="s">
        <v>662</v>
      </c>
      <c r="K5" t="s">
        <v>320</v>
      </c>
      <c r="L5">
        <v>28396</v>
      </c>
      <c r="M5">
        <v>986244026</v>
      </c>
      <c r="N5" t="s">
        <v>410</v>
      </c>
      <c r="O5" t="s">
        <v>322</v>
      </c>
      <c r="P5" t="s">
        <v>411</v>
      </c>
      <c r="Q5">
        <v>50311</v>
      </c>
      <c r="R5" t="s">
        <v>412</v>
      </c>
      <c r="S5" t="s">
        <v>413</v>
      </c>
      <c r="W5">
        <v>45990</v>
      </c>
    </row>
    <row r="6" spans="1:25">
      <c r="A6">
        <v>5</v>
      </c>
      <c r="B6">
        <v>45962.911765381941</v>
      </c>
      <c r="C6" t="s">
        <v>313</v>
      </c>
      <c r="D6" t="s">
        <v>70</v>
      </c>
      <c r="E6" t="s">
        <v>315</v>
      </c>
      <c r="F6" t="s">
        <v>401</v>
      </c>
      <c r="G6" t="s">
        <v>317</v>
      </c>
      <c r="H6" t="s">
        <v>402</v>
      </c>
      <c r="I6" t="s">
        <v>403</v>
      </c>
      <c r="J6" t="s">
        <v>661</v>
      </c>
      <c r="K6" t="s">
        <v>320</v>
      </c>
      <c r="L6">
        <v>27668</v>
      </c>
      <c r="M6">
        <v>358060974</v>
      </c>
      <c r="N6" t="s">
        <v>404</v>
      </c>
      <c r="O6" t="s">
        <v>322</v>
      </c>
      <c r="P6" t="s">
        <v>405</v>
      </c>
      <c r="Q6">
        <v>49583</v>
      </c>
      <c r="R6" t="s">
        <v>406</v>
      </c>
      <c r="S6" t="s">
        <v>407</v>
      </c>
      <c r="W6">
        <v>45990</v>
      </c>
    </row>
    <row r="7" spans="1:25">
      <c r="A7">
        <v>6</v>
      </c>
      <c r="B7">
        <v>45962.92652883102</v>
      </c>
      <c r="C7" t="s">
        <v>313</v>
      </c>
      <c r="D7" t="s">
        <v>66</v>
      </c>
      <c r="E7" t="s">
        <v>394</v>
      </c>
      <c r="F7" t="s">
        <v>401</v>
      </c>
      <c r="G7" t="s">
        <v>317</v>
      </c>
      <c r="H7" t="s">
        <v>583</v>
      </c>
      <c r="I7" t="s">
        <v>584</v>
      </c>
      <c r="J7" t="s">
        <v>667</v>
      </c>
      <c r="K7" t="s">
        <v>320</v>
      </c>
      <c r="L7">
        <v>28273</v>
      </c>
      <c r="M7">
        <v>389690842</v>
      </c>
      <c r="N7" t="s">
        <v>585</v>
      </c>
      <c r="O7" t="s">
        <v>322</v>
      </c>
      <c r="P7" t="s">
        <v>586</v>
      </c>
      <c r="Q7">
        <v>50188</v>
      </c>
      <c r="R7" t="s">
        <v>587</v>
      </c>
      <c r="S7" t="s">
        <v>588</v>
      </c>
      <c r="W7">
        <v>45990</v>
      </c>
    </row>
    <row r="8" spans="1:25">
      <c r="A8">
        <v>7</v>
      </c>
      <c r="B8">
        <v>45963.500108379631</v>
      </c>
      <c r="C8" t="s">
        <v>313</v>
      </c>
      <c r="D8" t="s">
        <v>443</v>
      </c>
      <c r="E8" t="s">
        <v>394</v>
      </c>
      <c r="F8" t="s">
        <v>401</v>
      </c>
      <c r="G8" t="s">
        <v>317</v>
      </c>
      <c r="H8" t="s">
        <v>419</v>
      </c>
      <c r="I8" t="s">
        <v>444</v>
      </c>
      <c r="J8" t="s">
        <v>1090</v>
      </c>
      <c r="K8" t="s">
        <v>320</v>
      </c>
      <c r="L8">
        <v>29508</v>
      </c>
      <c r="M8">
        <v>967115904</v>
      </c>
      <c r="N8" t="s">
        <v>445</v>
      </c>
      <c r="O8" t="s">
        <v>322</v>
      </c>
      <c r="P8" t="s">
        <v>446</v>
      </c>
      <c r="Q8">
        <v>44420</v>
      </c>
      <c r="R8" t="s">
        <v>447</v>
      </c>
      <c r="S8" t="s">
        <v>448</v>
      </c>
      <c r="W8">
        <v>45990</v>
      </c>
    </row>
    <row r="9" spans="1:25">
      <c r="A9">
        <v>8</v>
      </c>
      <c r="B9">
        <v>45964.937850567134</v>
      </c>
      <c r="C9" t="s">
        <v>313</v>
      </c>
      <c r="D9" t="s">
        <v>26</v>
      </c>
      <c r="E9" t="s">
        <v>315</v>
      </c>
      <c r="F9" t="s">
        <v>401</v>
      </c>
      <c r="G9" t="s">
        <v>317</v>
      </c>
      <c r="H9" t="s">
        <v>419</v>
      </c>
      <c r="I9" t="s">
        <v>516</v>
      </c>
      <c r="J9" t="s">
        <v>664</v>
      </c>
      <c r="K9" t="s">
        <v>320</v>
      </c>
      <c r="L9">
        <v>27920</v>
      </c>
      <c r="M9">
        <v>966363111</v>
      </c>
      <c r="N9" t="s">
        <v>517</v>
      </c>
      <c r="O9" t="s">
        <v>322</v>
      </c>
      <c r="P9" t="s">
        <v>518</v>
      </c>
      <c r="Q9">
        <v>49835</v>
      </c>
      <c r="R9" t="s">
        <v>519</v>
      </c>
      <c r="S9" t="s">
        <v>520</v>
      </c>
      <c r="W9">
        <v>45990</v>
      </c>
    </row>
    <row r="10" spans="1:25">
      <c r="A10">
        <v>9</v>
      </c>
      <c r="B10">
        <v>45965.654335046296</v>
      </c>
      <c r="C10" t="s">
        <v>313</v>
      </c>
      <c r="D10" t="s">
        <v>26</v>
      </c>
      <c r="E10" t="s">
        <v>315</v>
      </c>
      <c r="F10" t="s">
        <v>401</v>
      </c>
      <c r="G10" t="s">
        <v>317</v>
      </c>
      <c r="H10" t="s">
        <v>595</v>
      </c>
      <c r="I10" t="s">
        <v>596</v>
      </c>
      <c r="J10" t="s">
        <v>1091</v>
      </c>
      <c r="K10" t="s">
        <v>320</v>
      </c>
      <c r="L10">
        <v>28436</v>
      </c>
      <c r="M10">
        <v>978933637</v>
      </c>
      <c r="N10" t="s">
        <v>597</v>
      </c>
      <c r="O10" t="s">
        <v>322</v>
      </c>
      <c r="P10" t="s">
        <v>295</v>
      </c>
      <c r="Q10">
        <v>50351</v>
      </c>
      <c r="R10" t="s">
        <v>598</v>
      </c>
      <c r="S10" t="s">
        <v>599</v>
      </c>
      <c r="T10" t="s">
        <v>295</v>
      </c>
      <c r="U10">
        <v>50351</v>
      </c>
      <c r="V10" t="s">
        <v>600</v>
      </c>
      <c r="W10">
        <v>45990</v>
      </c>
    </row>
    <row r="11" spans="1:25">
      <c r="A11">
        <v>10</v>
      </c>
      <c r="B11">
        <v>45966.839715949071</v>
      </c>
      <c r="C11" t="s">
        <v>313</v>
      </c>
      <c r="D11" t="s">
        <v>78</v>
      </c>
      <c r="E11" t="s">
        <v>394</v>
      </c>
      <c r="F11" t="s">
        <v>401</v>
      </c>
      <c r="G11" t="s">
        <v>317</v>
      </c>
      <c r="H11" t="s">
        <v>419</v>
      </c>
      <c r="I11" t="s">
        <v>468</v>
      </c>
      <c r="J11" t="s">
        <v>663</v>
      </c>
      <c r="K11" t="s">
        <v>320</v>
      </c>
      <c r="L11">
        <v>27918</v>
      </c>
      <c r="M11">
        <v>989859935</v>
      </c>
      <c r="N11" t="s">
        <v>470</v>
      </c>
      <c r="O11" t="s">
        <v>322</v>
      </c>
      <c r="P11" t="s">
        <v>471</v>
      </c>
      <c r="Q11">
        <v>49833</v>
      </c>
      <c r="R11" t="s">
        <v>472</v>
      </c>
      <c r="S11" t="s">
        <v>473</v>
      </c>
      <c r="W11">
        <v>45990</v>
      </c>
    </row>
    <row r="12" spans="1:25">
      <c r="A12">
        <v>11</v>
      </c>
      <c r="B12">
        <v>45967.384850601855</v>
      </c>
      <c r="C12" t="s">
        <v>313</v>
      </c>
      <c r="D12" t="s">
        <v>75</v>
      </c>
      <c r="E12" t="s">
        <v>315</v>
      </c>
      <c r="F12" t="s">
        <v>401</v>
      </c>
      <c r="G12" t="s">
        <v>317</v>
      </c>
      <c r="H12" t="s">
        <v>419</v>
      </c>
      <c r="I12" t="s">
        <v>535</v>
      </c>
      <c r="J12" t="s">
        <v>665</v>
      </c>
      <c r="K12" t="s">
        <v>320</v>
      </c>
      <c r="L12">
        <v>27421</v>
      </c>
      <c r="M12">
        <v>984681216</v>
      </c>
      <c r="N12" t="s">
        <v>536</v>
      </c>
      <c r="O12" t="s">
        <v>322</v>
      </c>
      <c r="P12" t="s">
        <v>537</v>
      </c>
      <c r="Q12">
        <v>49336</v>
      </c>
      <c r="R12" t="s">
        <v>538</v>
      </c>
      <c r="S12" t="s">
        <v>539</v>
      </c>
      <c r="W12">
        <v>45990</v>
      </c>
    </row>
    <row r="13" spans="1:25">
      <c r="A13">
        <v>12</v>
      </c>
      <c r="B13">
        <v>45968.399710289348</v>
      </c>
      <c r="C13" t="s">
        <v>313</v>
      </c>
      <c r="D13" t="s">
        <v>64</v>
      </c>
      <c r="E13" t="s">
        <v>315</v>
      </c>
      <c r="F13" t="s">
        <v>401</v>
      </c>
      <c r="G13" t="s">
        <v>349</v>
      </c>
      <c r="H13" t="s">
        <v>648</v>
      </c>
      <c r="I13" t="s">
        <v>649</v>
      </c>
      <c r="J13" t="s">
        <v>670</v>
      </c>
      <c r="K13" t="s">
        <v>352</v>
      </c>
      <c r="L13">
        <v>27712</v>
      </c>
      <c r="M13">
        <v>986763117</v>
      </c>
      <c r="N13" t="s">
        <v>650</v>
      </c>
      <c r="O13" t="s">
        <v>322</v>
      </c>
      <c r="P13" t="s">
        <v>651</v>
      </c>
      <c r="Q13">
        <v>49627</v>
      </c>
      <c r="R13" t="s">
        <v>652</v>
      </c>
      <c r="S13" t="s">
        <v>653</v>
      </c>
      <c r="W13">
        <v>45990</v>
      </c>
    </row>
    <row r="14" spans="1:25">
      <c r="A14">
        <v>13</v>
      </c>
      <c r="B14">
        <v>45972.608505277778</v>
      </c>
      <c r="C14" t="s">
        <v>313</v>
      </c>
      <c r="D14" t="s">
        <v>62</v>
      </c>
      <c r="E14" t="s">
        <v>711</v>
      </c>
      <c r="F14" t="s">
        <v>401</v>
      </c>
      <c r="G14" t="s">
        <v>317</v>
      </c>
      <c r="H14" t="s">
        <v>713</v>
      </c>
      <c r="I14" t="s">
        <v>712</v>
      </c>
      <c r="J14" t="s">
        <v>684</v>
      </c>
      <c r="K14" t="s">
        <v>320</v>
      </c>
      <c r="L14">
        <v>28444</v>
      </c>
      <c r="M14" t="s">
        <v>1138</v>
      </c>
      <c r="N14" t="s">
        <v>714</v>
      </c>
      <c r="O14" t="s">
        <v>322</v>
      </c>
      <c r="P14" t="s">
        <v>715</v>
      </c>
      <c r="Q14">
        <v>50359</v>
      </c>
      <c r="R14" t="s">
        <v>716</v>
      </c>
      <c r="S14" t="s">
        <v>717</v>
      </c>
    </row>
    <row r="15" spans="1:25">
      <c r="A15">
        <v>14</v>
      </c>
      <c r="B15">
        <v>45962.812551736111</v>
      </c>
      <c r="C15" t="s">
        <v>313</v>
      </c>
      <c r="D15" t="s">
        <v>485</v>
      </c>
      <c r="E15" t="s">
        <v>358</v>
      </c>
      <c r="F15" t="s">
        <v>359</v>
      </c>
      <c r="G15" t="s">
        <v>317</v>
      </c>
      <c r="H15" t="s">
        <v>419</v>
      </c>
      <c r="I15" t="s">
        <v>486</v>
      </c>
      <c r="J15" t="s">
        <v>1092</v>
      </c>
      <c r="K15" t="s">
        <v>320</v>
      </c>
      <c r="L15">
        <v>31222</v>
      </c>
      <c r="M15">
        <v>983985218</v>
      </c>
      <c r="N15" t="s">
        <v>487</v>
      </c>
      <c r="O15" t="s">
        <v>322</v>
      </c>
      <c r="P15" t="s">
        <v>488</v>
      </c>
      <c r="Q15">
        <v>53137</v>
      </c>
      <c r="R15" t="s">
        <v>489</v>
      </c>
      <c r="S15" t="s">
        <v>490</v>
      </c>
      <c r="W15">
        <v>45990</v>
      </c>
    </row>
    <row r="16" spans="1:25">
      <c r="A16">
        <v>15</v>
      </c>
      <c r="B16">
        <v>45963.749883124998</v>
      </c>
      <c r="C16" t="s">
        <v>313</v>
      </c>
      <c r="D16" t="s">
        <v>540</v>
      </c>
      <c r="E16" t="s">
        <v>315</v>
      </c>
      <c r="F16" t="s">
        <v>359</v>
      </c>
      <c r="G16" t="s">
        <v>349</v>
      </c>
      <c r="H16" t="s">
        <v>419</v>
      </c>
      <c r="I16" t="s">
        <v>541</v>
      </c>
      <c r="J16" t="s">
        <v>1093</v>
      </c>
      <c r="K16" t="s">
        <v>352</v>
      </c>
      <c r="L16">
        <v>29187</v>
      </c>
      <c r="M16">
        <v>982851438</v>
      </c>
      <c r="N16" t="s">
        <v>542</v>
      </c>
      <c r="O16" t="s">
        <v>322</v>
      </c>
      <c r="P16" t="s">
        <v>543</v>
      </c>
      <c r="Q16">
        <v>51102</v>
      </c>
      <c r="R16" t="s">
        <v>544</v>
      </c>
      <c r="S16" t="s">
        <v>545</v>
      </c>
      <c r="W16">
        <v>45990</v>
      </c>
    </row>
    <row r="17" spans="1:23">
      <c r="A17">
        <v>16</v>
      </c>
      <c r="B17">
        <v>45964.666486319446</v>
      </c>
      <c r="C17" t="s">
        <v>313</v>
      </c>
      <c r="D17" t="s">
        <v>44</v>
      </c>
      <c r="E17" t="s">
        <v>315</v>
      </c>
      <c r="F17" t="s">
        <v>359</v>
      </c>
      <c r="G17" t="s">
        <v>317</v>
      </c>
      <c r="H17" t="s">
        <v>557</v>
      </c>
      <c r="I17" t="s">
        <v>558</v>
      </c>
      <c r="J17" t="s">
        <v>1094</v>
      </c>
      <c r="K17" t="s">
        <v>320</v>
      </c>
      <c r="L17">
        <v>28072</v>
      </c>
      <c r="M17">
        <v>379908976</v>
      </c>
      <c r="N17" t="s">
        <v>559</v>
      </c>
      <c r="O17" t="s">
        <v>322</v>
      </c>
      <c r="P17" t="s">
        <v>560</v>
      </c>
      <c r="Q17">
        <v>49987</v>
      </c>
      <c r="R17" t="s">
        <v>561</v>
      </c>
      <c r="S17" t="s">
        <v>562</v>
      </c>
      <c r="W17">
        <v>45994</v>
      </c>
    </row>
    <row r="18" spans="1:23">
      <c r="A18">
        <v>17</v>
      </c>
      <c r="B18">
        <v>45965.440844976853</v>
      </c>
      <c r="C18" t="s">
        <v>313</v>
      </c>
      <c r="D18" t="s">
        <v>64</v>
      </c>
      <c r="E18" t="s">
        <v>315</v>
      </c>
      <c r="F18" t="s">
        <v>359</v>
      </c>
      <c r="G18" t="s">
        <v>317</v>
      </c>
      <c r="H18" t="s">
        <v>360</v>
      </c>
      <c r="I18" t="s">
        <v>367</v>
      </c>
      <c r="J18" t="s">
        <v>1095</v>
      </c>
      <c r="K18" t="s">
        <v>320</v>
      </c>
      <c r="L18">
        <v>28631</v>
      </c>
      <c r="M18">
        <v>978388044</v>
      </c>
      <c r="N18" t="s">
        <v>368</v>
      </c>
      <c r="O18" t="s">
        <v>322</v>
      </c>
      <c r="P18" t="s">
        <v>369</v>
      </c>
      <c r="Q18">
        <v>50546</v>
      </c>
      <c r="R18" t="s">
        <v>370</v>
      </c>
      <c r="S18" t="s">
        <v>371</v>
      </c>
      <c r="W18" t="s">
        <v>1139</v>
      </c>
    </row>
    <row r="19" spans="1:23">
      <c r="A19">
        <v>18</v>
      </c>
      <c r="B19">
        <v>45967.334633796301</v>
      </c>
      <c r="C19" t="s">
        <v>313</v>
      </c>
      <c r="D19" t="s">
        <v>127</v>
      </c>
      <c r="E19" t="s">
        <v>377</v>
      </c>
      <c r="F19" t="s">
        <v>359</v>
      </c>
      <c r="G19" t="s">
        <v>317</v>
      </c>
      <c r="H19" t="s">
        <v>360</v>
      </c>
      <c r="I19" t="s">
        <v>378</v>
      </c>
      <c r="J19" t="s">
        <v>1096</v>
      </c>
      <c r="K19" t="s">
        <v>320</v>
      </c>
      <c r="L19">
        <v>29896</v>
      </c>
      <c r="M19">
        <v>968103693</v>
      </c>
      <c r="N19" t="s">
        <v>379</v>
      </c>
      <c r="O19" t="s">
        <v>322</v>
      </c>
      <c r="P19" t="s">
        <v>380</v>
      </c>
      <c r="Q19">
        <v>51811</v>
      </c>
      <c r="R19" t="s">
        <v>381</v>
      </c>
      <c r="S19" t="s">
        <v>382</v>
      </c>
      <c r="W19">
        <v>45990</v>
      </c>
    </row>
    <row r="20" spans="1:23">
      <c r="A20">
        <v>19</v>
      </c>
      <c r="B20">
        <v>45967.375752824075</v>
      </c>
      <c r="C20" t="s">
        <v>313</v>
      </c>
      <c r="D20" t="s">
        <v>133</v>
      </c>
      <c r="E20" t="s">
        <v>315</v>
      </c>
      <c r="F20" t="s">
        <v>359</v>
      </c>
      <c r="G20" t="s">
        <v>317</v>
      </c>
      <c r="H20" t="s">
        <v>419</v>
      </c>
      <c r="I20" t="s">
        <v>511</v>
      </c>
      <c r="J20" t="s">
        <v>1097</v>
      </c>
      <c r="K20" t="s">
        <v>320</v>
      </c>
      <c r="L20">
        <v>28774</v>
      </c>
      <c r="M20">
        <v>968029869</v>
      </c>
      <c r="N20" t="s">
        <v>512</v>
      </c>
      <c r="O20" t="s">
        <v>322</v>
      </c>
      <c r="P20" t="s">
        <v>513</v>
      </c>
      <c r="Q20">
        <v>50689</v>
      </c>
      <c r="R20" t="s">
        <v>514</v>
      </c>
      <c r="S20" t="s">
        <v>515</v>
      </c>
      <c r="W20">
        <v>45990</v>
      </c>
    </row>
    <row r="21" spans="1:23">
      <c r="A21">
        <v>20</v>
      </c>
      <c r="B21">
        <v>45967.416295787036</v>
      </c>
      <c r="C21" t="s">
        <v>313</v>
      </c>
      <c r="D21" t="s">
        <v>110</v>
      </c>
      <c r="E21" t="s">
        <v>327</v>
      </c>
      <c r="F21" t="s">
        <v>359</v>
      </c>
      <c r="G21" t="s">
        <v>317</v>
      </c>
      <c r="H21" t="s">
        <v>419</v>
      </c>
      <c r="I21" t="s">
        <v>491</v>
      </c>
      <c r="J21" t="s">
        <v>1066</v>
      </c>
      <c r="K21" t="s">
        <v>320</v>
      </c>
      <c r="L21">
        <v>28542</v>
      </c>
      <c r="M21">
        <v>984351978</v>
      </c>
      <c r="N21" t="s">
        <v>492</v>
      </c>
      <c r="O21" t="s">
        <v>322</v>
      </c>
      <c r="P21" t="s">
        <v>493</v>
      </c>
      <c r="Q21">
        <v>50457</v>
      </c>
      <c r="R21" t="s">
        <v>494</v>
      </c>
      <c r="S21" t="s">
        <v>495</v>
      </c>
      <c r="W21">
        <v>45993</v>
      </c>
    </row>
    <row r="22" spans="1:23">
      <c r="A22">
        <v>21</v>
      </c>
      <c r="B22">
        <v>45967.671320428242</v>
      </c>
      <c r="C22" t="s">
        <v>313</v>
      </c>
      <c r="D22" t="s">
        <v>123</v>
      </c>
      <c r="E22" t="s">
        <v>377</v>
      </c>
      <c r="F22" t="s">
        <v>359</v>
      </c>
      <c r="G22" t="s">
        <v>317</v>
      </c>
      <c r="H22" t="s">
        <v>419</v>
      </c>
      <c r="I22" t="s">
        <v>425</v>
      </c>
      <c r="J22" t="s">
        <v>1098</v>
      </c>
      <c r="K22" t="s">
        <v>320</v>
      </c>
      <c r="L22">
        <v>28730</v>
      </c>
      <c r="M22">
        <v>367818233</v>
      </c>
      <c r="N22" t="s">
        <v>426</v>
      </c>
      <c r="O22" t="s">
        <v>322</v>
      </c>
      <c r="P22" t="s">
        <v>427</v>
      </c>
      <c r="Q22">
        <v>28730</v>
      </c>
      <c r="R22" t="s">
        <v>428</v>
      </c>
      <c r="S22" t="s">
        <v>429</v>
      </c>
      <c r="W22">
        <v>45990</v>
      </c>
    </row>
    <row r="23" spans="1:23">
      <c r="A23">
        <v>22</v>
      </c>
      <c r="B23">
        <v>45968.391633148145</v>
      </c>
      <c r="C23" t="s">
        <v>313</v>
      </c>
      <c r="D23" t="s">
        <v>113</v>
      </c>
      <c r="E23" t="s">
        <v>358</v>
      </c>
      <c r="F23" t="s">
        <v>359</v>
      </c>
      <c r="G23" t="s">
        <v>317</v>
      </c>
      <c r="H23" t="s">
        <v>360</v>
      </c>
      <c r="I23" t="s">
        <v>718</v>
      </c>
      <c r="J23" t="s">
        <v>1099</v>
      </c>
      <c r="K23" t="s">
        <v>320</v>
      </c>
      <c r="L23">
        <v>30803</v>
      </c>
      <c r="M23">
        <v>987709904</v>
      </c>
      <c r="N23" t="s">
        <v>361</v>
      </c>
      <c r="O23" t="s">
        <v>322</v>
      </c>
      <c r="P23" t="s">
        <v>362</v>
      </c>
      <c r="Q23">
        <v>52718</v>
      </c>
      <c r="R23" t="s">
        <v>363</v>
      </c>
      <c r="S23" t="s">
        <v>364</v>
      </c>
      <c r="W23">
        <v>45990</v>
      </c>
    </row>
    <row r="24" spans="1:23">
      <c r="A24">
        <v>23</v>
      </c>
      <c r="B24">
        <v>45968.472565520831</v>
      </c>
      <c r="C24" t="s">
        <v>313</v>
      </c>
      <c r="D24" t="s">
        <v>110</v>
      </c>
      <c r="E24" t="s">
        <v>327</v>
      </c>
      <c r="F24" t="s">
        <v>359</v>
      </c>
      <c r="G24" t="s">
        <v>349</v>
      </c>
      <c r="H24" t="s">
        <v>419</v>
      </c>
      <c r="I24" t="s">
        <v>449</v>
      </c>
      <c r="J24" t="s">
        <v>1100</v>
      </c>
      <c r="K24" t="s">
        <v>352</v>
      </c>
      <c r="L24">
        <v>28193</v>
      </c>
      <c r="M24">
        <v>983290903</v>
      </c>
      <c r="N24" t="s">
        <v>450</v>
      </c>
      <c r="O24" t="s">
        <v>322</v>
      </c>
      <c r="P24" t="s">
        <v>451</v>
      </c>
      <c r="Q24">
        <v>50108</v>
      </c>
      <c r="R24" t="s">
        <v>452</v>
      </c>
      <c r="S24" t="s">
        <v>453</v>
      </c>
      <c r="W24" t="s">
        <v>1139</v>
      </c>
    </row>
    <row r="25" spans="1:23">
      <c r="A25">
        <v>24</v>
      </c>
      <c r="B25">
        <v>45962.799695972222</v>
      </c>
      <c r="C25" t="s">
        <v>313</v>
      </c>
      <c r="D25" t="s">
        <v>601</v>
      </c>
      <c r="E25" t="s">
        <v>327</v>
      </c>
      <c r="F25" t="s">
        <v>316</v>
      </c>
      <c r="G25" t="s">
        <v>317</v>
      </c>
      <c r="H25" t="s">
        <v>595</v>
      </c>
      <c r="I25" t="s">
        <v>602</v>
      </c>
      <c r="J25" t="s">
        <v>1101</v>
      </c>
      <c r="K25" t="s">
        <v>320</v>
      </c>
      <c r="L25">
        <v>31801</v>
      </c>
      <c r="M25">
        <v>868688187</v>
      </c>
      <c r="N25" t="s">
        <v>603</v>
      </c>
      <c r="O25" t="s">
        <v>322</v>
      </c>
      <c r="P25" t="s">
        <v>604</v>
      </c>
      <c r="Q25">
        <v>46411</v>
      </c>
      <c r="R25" t="s">
        <v>605</v>
      </c>
      <c r="S25" t="s">
        <v>606</v>
      </c>
      <c r="W25">
        <v>45990</v>
      </c>
    </row>
    <row r="26" spans="1:23">
      <c r="A26">
        <v>25</v>
      </c>
      <c r="B26">
        <v>45962.957393715275</v>
      </c>
      <c r="C26" t="s">
        <v>313</v>
      </c>
      <c r="D26" t="s">
        <v>70</v>
      </c>
      <c r="E26" t="s">
        <v>430</v>
      </c>
      <c r="F26" t="s">
        <v>316</v>
      </c>
      <c r="G26" t="s">
        <v>349</v>
      </c>
      <c r="H26" t="s">
        <v>419</v>
      </c>
      <c r="I26" t="s">
        <v>431</v>
      </c>
      <c r="J26" t="s">
        <v>1102</v>
      </c>
      <c r="K26" t="s">
        <v>352</v>
      </c>
      <c r="L26">
        <v>28880</v>
      </c>
      <c r="M26">
        <v>987307306</v>
      </c>
      <c r="N26" t="s">
        <v>432</v>
      </c>
      <c r="O26" t="s">
        <v>322</v>
      </c>
      <c r="P26" t="s">
        <v>433</v>
      </c>
      <c r="Q26">
        <v>50795</v>
      </c>
      <c r="R26" t="s">
        <v>434</v>
      </c>
      <c r="S26" t="s">
        <v>435</v>
      </c>
      <c r="T26" t="s">
        <v>436</v>
      </c>
      <c r="U26">
        <v>46880</v>
      </c>
      <c r="V26" t="s">
        <v>437</v>
      </c>
      <c r="W26">
        <v>45990</v>
      </c>
    </row>
    <row r="27" spans="1:23">
      <c r="A27">
        <v>26</v>
      </c>
      <c r="B27">
        <v>45963.810550023147</v>
      </c>
      <c r="C27" t="s">
        <v>313</v>
      </c>
      <c r="D27" t="s">
        <v>140</v>
      </c>
      <c r="E27" t="s">
        <v>315</v>
      </c>
      <c r="F27" t="s">
        <v>316</v>
      </c>
      <c r="G27" t="s">
        <v>317</v>
      </c>
      <c r="H27" t="s">
        <v>419</v>
      </c>
      <c r="I27" t="s">
        <v>474</v>
      </c>
      <c r="J27" t="s">
        <v>1103</v>
      </c>
      <c r="K27" t="s">
        <v>320</v>
      </c>
      <c r="L27">
        <v>30801</v>
      </c>
      <c r="M27">
        <v>983322900</v>
      </c>
      <c r="N27" t="s">
        <v>475</v>
      </c>
      <c r="O27" t="s">
        <v>322</v>
      </c>
      <c r="P27" t="s">
        <v>476</v>
      </c>
      <c r="Q27">
        <v>52716</v>
      </c>
      <c r="R27" t="s">
        <v>477</v>
      </c>
      <c r="S27" t="s">
        <v>478</v>
      </c>
      <c r="W27">
        <v>45990</v>
      </c>
    </row>
    <row r="28" spans="1:23">
      <c r="A28">
        <v>27</v>
      </c>
      <c r="B28">
        <v>45963.950180949076</v>
      </c>
      <c r="C28" t="s">
        <v>313</v>
      </c>
      <c r="D28" t="s">
        <v>314</v>
      </c>
      <c r="E28" t="s">
        <v>315</v>
      </c>
      <c r="F28" t="s">
        <v>316</v>
      </c>
      <c r="G28" t="s">
        <v>317</v>
      </c>
      <c r="H28" t="s">
        <v>318</v>
      </c>
      <c r="I28" t="s">
        <v>319</v>
      </c>
      <c r="J28" t="s">
        <v>1104</v>
      </c>
      <c r="K28" t="s">
        <v>320</v>
      </c>
      <c r="L28">
        <v>27754</v>
      </c>
      <c r="M28">
        <v>947476368</v>
      </c>
      <c r="N28" t="s">
        <v>321</v>
      </c>
      <c r="O28" t="s">
        <v>322</v>
      </c>
      <c r="P28" t="s">
        <v>323</v>
      </c>
      <c r="Q28">
        <v>49669</v>
      </c>
      <c r="R28" t="s">
        <v>324</v>
      </c>
      <c r="S28" t="s">
        <v>325</v>
      </c>
      <c r="T28" t="s">
        <v>326</v>
      </c>
      <c r="W28">
        <v>45990</v>
      </c>
    </row>
    <row r="29" spans="1:23">
      <c r="A29">
        <v>28</v>
      </c>
      <c r="B29">
        <v>45964.2871290162</v>
      </c>
      <c r="C29" t="s">
        <v>313</v>
      </c>
      <c r="D29" t="s">
        <v>168</v>
      </c>
      <c r="E29" t="s">
        <v>315</v>
      </c>
      <c r="F29" t="s">
        <v>316</v>
      </c>
      <c r="G29" t="s">
        <v>317</v>
      </c>
      <c r="H29" t="s">
        <v>419</v>
      </c>
      <c r="I29" t="s">
        <v>458</v>
      </c>
      <c r="J29" t="s">
        <v>1105</v>
      </c>
      <c r="K29" t="s">
        <v>320</v>
      </c>
      <c r="L29">
        <v>28054</v>
      </c>
      <c r="M29">
        <v>987380879</v>
      </c>
      <c r="N29" t="s">
        <v>459</v>
      </c>
      <c r="O29" t="s">
        <v>322</v>
      </c>
      <c r="P29" t="s">
        <v>460</v>
      </c>
      <c r="Q29">
        <v>49969</v>
      </c>
      <c r="R29" t="s">
        <v>461</v>
      </c>
      <c r="S29" t="s">
        <v>462</v>
      </c>
      <c r="W29">
        <v>45990</v>
      </c>
    </row>
    <row r="30" spans="1:23">
      <c r="A30">
        <v>29</v>
      </c>
      <c r="B30">
        <v>45964.887978136576</v>
      </c>
      <c r="C30" t="s">
        <v>313</v>
      </c>
      <c r="D30" t="s">
        <v>75</v>
      </c>
      <c r="E30" t="s">
        <v>315</v>
      </c>
      <c r="F30" t="s">
        <v>316</v>
      </c>
      <c r="G30" t="s">
        <v>349</v>
      </c>
      <c r="H30" t="s">
        <v>589</v>
      </c>
      <c r="I30" t="s">
        <v>590</v>
      </c>
      <c r="J30" t="s">
        <v>1106</v>
      </c>
      <c r="K30" t="s">
        <v>352</v>
      </c>
      <c r="L30">
        <v>27460</v>
      </c>
      <c r="M30">
        <v>973103979</v>
      </c>
      <c r="N30" t="s">
        <v>591</v>
      </c>
      <c r="O30" t="s">
        <v>322</v>
      </c>
      <c r="P30" t="s">
        <v>592</v>
      </c>
      <c r="Q30">
        <v>12850</v>
      </c>
      <c r="R30" t="s">
        <v>593</v>
      </c>
      <c r="S30" t="s">
        <v>594</v>
      </c>
      <c r="W30">
        <v>45990</v>
      </c>
    </row>
    <row r="31" spans="1:23">
      <c r="A31">
        <v>30</v>
      </c>
      <c r="B31">
        <v>45966.824134409719</v>
      </c>
      <c r="C31" t="s">
        <v>313</v>
      </c>
      <c r="D31" t="s">
        <v>160</v>
      </c>
      <c r="E31" t="s">
        <v>315</v>
      </c>
      <c r="F31" t="s">
        <v>316</v>
      </c>
      <c r="G31" t="s">
        <v>317</v>
      </c>
      <c r="H31" t="s">
        <v>419</v>
      </c>
      <c r="I31" t="s">
        <v>463</v>
      </c>
      <c r="J31" t="s">
        <v>1107</v>
      </c>
      <c r="K31" t="s">
        <v>320</v>
      </c>
      <c r="L31">
        <v>28465</v>
      </c>
      <c r="M31">
        <v>962059966</v>
      </c>
      <c r="N31" t="s">
        <v>464</v>
      </c>
      <c r="O31" t="s">
        <v>322</v>
      </c>
      <c r="P31" t="s">
        <v>465</v>
      </c>
      <c r="Q31">
        <v>50380</v>
      </c>
      <c r="R31" t="s">
        <v>466</v>
      </c>
      <c r="S31" t="s">
        <v>467</v>
      </c>
      <c r="W31">
        <v>45990</v>
      </c>
    </row>
    <row r="32" spans="1:23">
      <c r="A32">
        <v>31</v>
      </c>
      <c r="B32">
        <v>45966.85354398148</v>
      </c>
      <c r="C32" t="s">
        <v>313</v>
      </c>
      <c r="D32" t="s">
        <v>78</v>
      </c>
      <c r="E32" t="s">
        <v>634</v>
      </c>
      <c r="F32" t="s">
        <v>316</v>
      </c>
      <c r="G32" t="s">
        <v>317</v>
      </c>
      <c r="H32" t="s">
        <v>635</v>
      </c>
      <c r="I32" t="s">
        <v>526</v>
      </c>
      <c r="J32" t="s">
        <v>1108</v>
      </c>
      <c r="K32" t="s">
        <v>320</v>
      </c>
      <c r="L32">
        <v>27597</v>
      </c>
      <c r="M32">
        <v>966686279</v>
      </c>
      <c r="N32" t="s">
        <v>636</v>
      </c>
      <c r="O32" t="s">
        <v>322</v>
      </c>
      <c r="P32" t="s">
        <v>637</v>
      </c>
      <c r="Q32">
        <v>49512</v>
      </c>
      <c r="R32" t="s">
        <v>638</v>
      </c>
      <c r="S32" t="s">
        <v>639</v>
      </c>
      <c r="W32">
        <v>45990</v>
      </c>
    </row>
    <row r="33" spans="1:23">
      <c r="A33">
        <v>32</v>
      </c>
      <c r="B33">
        <v>45967.456886979169</v>
      </c>
      <c r="C33" t="s">
        <v>313</v>
      </c>
      <c r="D33" t="s">
        <v>26</v>
      </c>
      <c r="E33" t="s">
        <v>315</v>
      </c>
      <c r="F33" t="s">
        <v>316</v>
      </c>
      <c r="G33" t="s">
        <v>317</v>
      </c>
      <c r="H33" t="s">
        <v>595</v>
      </c>
      <c r="I33" t="s">
        <v>612</v>
      </c>
      <c r="J33" t="s">
        <v>1109</v>
      </c>
      <c r="K33" t="s">
        <v>320</v>
      </c>
      <c r="L33">
        <v>28865</v>
      </c>
      <c r="M33">
        <v>986332160</v>
      </c>
      <c r="N33" t="s">
        <v>613</v>
      </c>
      <c r="O33" t="s">
        <v>322</v>
      </c>
      <c r="P33" t="s">
        <v>614</v>
      </c>
      <c r="Q33">
        <v>50780</v>
      </c>
      <c r="R33" t="s">
        <v>615</v>
      </c>
      <c r="S33" t="s">
        <v>616</v>
      </c>
      <c r="W33">
        <v>45990</v>
      </c>
    </row>
    <row r="34" spans="1:23">
      <c r="A34">
        <v>33</v>
      </c>
      <c r="B34">
        <v>45967.666241747684</v>
      </c>
      <c r="C34" t="s">
        <v>313</v>
      </c>
      <c r="D34" t="s">
        <v>153</v>
      </c>
      <c r="E34" t="s">
        <v>327</v>
      </c>
      <c r="F34" t="s">
        <v>316</v>
      </c>
      <c r="G34" t="s">
        <v>317</v>
      </c>
      <c r="H34" t="s">
        <v>595</v>
      </c>
      <c r="I34" t="s">
        <v>617</v>
      </c>
      <c r="J34" t="s">
        <v>1110</v>
      </c>
      <c r="K34" t="s">
        <v>320</v>
      </c>
      <c r="L34">
        <v>27810</v>
      </c>
      <c r="M34">
        <v>986414558</v>
      </c>
      <c r="N34" t="s">
        <v>618</v>
      </c>
      <c r="O34" t="s">
        <v>322</v>
      </c>
      <c r="P34" t="s">
        <v>619</v>
      </c>
      <c r="Q34">
        <v>49725</v>
      </c>
      <c r="R34" t="s">
        <v>620</v>
      </c>
      <c r="S34" t="s">
        <v>621</v>
      </c>
      <c r="W34">
        <v>45994</v>
      </c>
    </row>
    <row r="35" spans="1:23">
      <c r="A35">
        <v>34</v>
      </c>
      <c r="B35">
        <v>45968.436486041668</v>
      </c>
      <c r="C35" t="s">
        <v>313</v>
      </c>
      <c r="D35" t="s">
        <v>143</v>
      </c>
      <c r="E35" t="s">
        <v>315</v>
      </c>
      <c r="F35" t="s">
        <v>316</v>
      </c>
      <c r="G35" t="s">
        <v>349</v>
      </c>
      <c r="H35" t="s">
        <v>419</v>
      </c>
      <c r="I35" t="s">
        <v>546</v>
      </c>
      <c r="J35" t="s">
        <v>1111</v>
      </c>
      <c r="K35" t="s">
        <v>352</v>
      </c>
      <c r="L35">
        <v>28348</v>
      </c>
      <c r="M35">
        <v>972512077</v>
      </c>
      <c r="N35" t="s">
        <v>547</v>
      </c>
      <c r="O35" t="s">
        <v>322</v>
      </c>
      <c r="P35" t="s">
        <v>548</v>
      </c>
      <c r="Q35">
        <v>50263</v>
      </c>
      <c r="R35" t="s">
        <v>549</v>
      </c>
      <c r="S35" t="s">
        <v>550</v>
      </c>
      <c r="W35">
        <v>45990</v>
      </c>
    </row>
    <row r="36" spans="1:23">
      <c r="A36">
        <v>35</v>
      </c>
      <c r="B36">
        <v>45968.468280833331</v>
      </c>
      <c r="C36" t="s">
        <v>313</v>
      </c>
      <c r="D36" t="s">
        <v>31</v>
      </c>
      <c r="E36" t="s">
        <v>348</v>
      </c>
      <c r="F36" t="s">
        <v>316</v>
      </c>
      <c r="G36" t="s">
        <v>349</v>
      </c>
      <c r="H36" t="s">
        <v>350</v>
      </c>
      <c r="I36" t="s">
        <v>351</v>
      </c>
      <c r="J36" t="s">
        <v>1112</v>
      </c>
      <c r="K36" t="s">
        <v>352</v>
      </c>
      <c r="L36">
        <v>30385</v>
      </c>
      <c r="M36">
        <v>972981938</v>
      </c>
      <c r="N36" t="s">
        <v>348</v>
      </c>
      <c r="O36" t="s">
        <v>322</v>
      </c>
      <c r="P36" t="s">
        <v>353</v>
      </c>
      <c r="Q36">
        <v>52300</v>
      </c>
      <c r="R36" t="s">
        <v>354</v>
      </c>
      <c r="S36" t="s">
        <v>355</v>
      </c>
      <c r="W36">
        <v>45990</v>
      </c>
    </row>
    <row r="37" spans="1:23">
      <c r="A37">
        <v>36</v>
      </c>
      <c r="B37">
        <v>45969.590861273144</v>
      </c>
      <c r="C37" t="s">
        <v>313</v>
      </c>
      <c r="D37" t="s">
        <v>151</v>
      </c>
      <c r="E37" t="s">
        <v>327</v>
      </c>
      <c r="F37" t="s">
        <v>316</v>
      </c>
      <c r="G37" t="s">
        <v>317</v>
      </c>
      <c r="H37" t="s">
        <v>360</v>
      </c>
      <c r="I37" t="s">
        <v>343</v>
      </c>
      <c r="J37" t="s">
        <v>1113</v>
      </c>
      <c r="K37" t="s">
        <v>320</v>
      </c>
      <c r="L37">
        <v>28141</v>
      </c>
      <c r="M37">
        <v>966099169</v>
      </c>
      <c r="N37" t="s">
        <v>365</v>
      </c>
      <c r="O37" t="s">
        <v>322</v>
      </c>
      <c r="P37" t="s">
        <v>366</v>
      </c>
      <c r="Q37">
        <v>50056</v>
      </c>
      <c r="R37" t="s">
        <v>719</v>
      </c>
      <c r="S37" t="s">
        <v>720</v>
      </c>
      <c r="W37">
        <v>45993</v>
      </c>
    </row>
    <row r="38" spans="1:23">
      <c r="A38">
        <v>37</v>
      </c>
      <c r="B38">
        <v>45971.397392928237</v>
      </c>
      <c r="C38" t="s">
        <v>313</v>
      </c>
      <c r="D38" t="s">
        <v>156</v>
      </c>
      <c r="E38" t="s">
        <v>315</v>
      </c>
      <c r="F38" t="s">
        <v>316</v>
      </c>
      <c r="G38" t="s">
        <v>317</v>
      </c>
      <c r="H38" t="s">
        <v>722</v>
      </c>
      <c r="I38" t="s">
        <v>721</v>
      </c>
      <c r="J38" t="s">
        <v>1114</v>
      </c>
      <c r="K38" t="s">
        <v>320</v>
      </c>
      <c r="L38">
        <v>28753</v>
      </c>
      <c r="M38">
        <v>386286499</v>
      </c>
      <c r="N38" t="s">
        <v>723</v>
      </c>
      <c r="O38" t="s">
        <v>322</v>
      </c>
      <c r="P38" t="s">
        <v>724</v>
      </c>
      <c r="Q38">
        <v>50668</v>
      </c>
      <c r="R38" t="s">
        <v>725</v>
      </c>
      <c r="S38" t="s">
        <v>726</v>
      </c>
      <c r="W38">
        <v>45990</v>
      </c>
    </row>
    <row r="39" spans="1:23">
      <c r="A39">
        <v>38</v>
      </c>
      <c r="B39">
        <v>45962.944884699071</v>
      </c>
      <c r="C39" t="s">
        <v>313</v>
      </c>
      <c r="D39" t="s">
        <v>41</v>
      </c>
      <c r="E39" t="s">
        <v>315</v>
      </c>
      <c r="F39" t="s">
        <v>383</v>
      </c>
      <c r="G39" t="s">
        <v>317</v>
      </c>
      <c r="H39" t="s">
        <v>360</v>
      </c>
      <c r="I39" t="s">
        <v>384</v>
      </c>
      <c r="J39" t="s">
        <v>1115</v>
      </c>
      <c r="K39" t="s">
        <v>320</v>
      </c>
      <c r="L39">
        <v>27131</v>
      </c>
      <c r="M39">
        <v>973116977</v>
      </c>
      <c r="N39" t="s">
        <v>385</v>
      </c>
      <c r="O39" t="s">
        <v>322</v>
      </c>
      <c r="P39" t="s">
        <v>386</v>
      </c>
      <c r="Q39">
        <v>49046</v>
      </c>
      <c r="R39" t="s">
        <v>387</v>
      </c>
      <c r="S39" t="s">
        <v>388</v>
      </c>
      <c r="W39">
        <v>45994</v>
      </c>
    </row>
    <row r="40" spans="1:23">
      <c r="A40">
        <v>39</v>
      </c>
      <c r="B40">
        <v>45964.427860960648</v>
      </c>
      <c r="C40" t="s">
        <v>313</v>
      </c>
      <c r="D40" t="s">
        <v>184</v>
      </c>
      <c r="E40" t="s">
        <v>315</v>
      </c>
      <c r="F40" t="s">
        <v>383</v>
      </c>
      <c r="G40" t="s">
        <v>349</v>
      </c>
      <c r="H40" t="s">
        <v>402</v>
      </c>
      <c r="I40" t="s">
        <v>414</v>
      </c>
      <c r="J40" t="s">
        <v>1116</v>
      </c>
      <c r="K40" t="s">
        <v>352</v>
      </c>
      <c r="L40">
        <v>28338</v>
      </c>
      <c r="M40">
        <v>975684918</v>
      </c>
      <c r="N40" t="s">
        <v>415</v>
      </c>
      <c r="O40" t="s">
        <v>322</v>
      </c>
      <c r="P40" t="s">
        <v>416</v>
      </c>
      <c r="Q40">
        <v>50253</v>
      </c>
      <c r="R40" t="s">
        <v>417</v>
      </c>
      <c r="S40" t="s">
        <v>418</v>
      </c>
      <c r="W40">
        <v>45993</v>
      </c>
    </row>
    <row r="41" spans="1:23">
      <c r="A41">
        <v>40</v>
      </c>
      <c r="B41">
        <v>45964.950508819442</v>
      </c>
      <c r="C41" t="s">
        <v>313</v>
      </c>
      <c r="D41" t="s">
        <v>86</v>
      </c>
      <c r="E41" t="s">
        <v>315</v>
      </c>
      <c r="F41" t="s">
        <v>383</v>
      </c>
      <c r="G41" t="s">
        <v>317</v>
      </c>
      <c r="H41" t="s">
        <v>595</v>
      </c>
      <c r="I41" t="s">
        <v>607</v>
      </c>
      <c r="J41" t="s">
        <v>1117</v>
      </c>
      <c r="K41" t="s">
        <v>320</v>
      </c>
      <c r="L41">
        <v>27533</v>
      </c>
      <c r="M41">
        <v>969535875</v>
      </c>
      <c r="N41" t="s">
        <v>608</v>
      </c>
      <c r="O41" t="s">
        <v>322</v>
      </c>
      <c r="P41" t="s">
        <v>609</v>
      </c>
      <c r="Q41">
        <v>49448</v>
      </c>
      <c r="R41" t="s">
        <v>610</v>
      </c>
      <c r="S41" t="s">
        <v>611</v>
      </c>
      <c r="W41">
        <v>45990</v>
      </c>
    </row>
    <row r="42" spans="1:23">
      <c r="A42">
        <v>41</v>
      </c>
      <c r="B42">
        <v>45963.872685405091</v>
      </c>
      <c r="C42" t="s">
        <v>313</v>
      </c>
      <c r="D42" t="s">
        <v>177</v>
      </c>
      <c r="E42" t="s">
        <v>394</v>
      </c>
      <c r="F42" t="s">
        <v>395</v>
      </c>
      <c r="G42" t="s">
        <v>317</v>
      </c>
      <c r="H42" t="s">
        <v>419</v>
      </c>
      <c r="I42" t="s">
        <v>526</v>
      </c>
      <c r="J42" t="s">
        <v>1118</v>
      </c>
      <c r="K42" t="s">
        <v>320</v>
      </c>
      <c r="L42">
        <v>34511</v>
      </c>
      <c r="M42">
        <v>964927026</v>
      </c>
      <c r="N42" t="s">
        <v>527</v>
      </c>
      <c r="O42" t="s">
        <v>322</v>
      </c>
      <c r="P42" t="s">
        <v>528</v>
      </c>
      <c r="Q42">
        <v>49121</v>
      </c>
      <c r="R42" t="s">
        <v>529</v>
      </c>
      <c r="S42" t="s">
        <v>530</v>
      </c>
      <c r="W42">
        <v>45994</v>
      </c>
    </row>
    <row r="43" spans="1:23">
      <c r="A43">
        <v>42</v>
      </c>
      <c r="B43">
        <v>45964.850820810185</v>
      </c>
      <c r="C43" t="s">
        <v>313</v>
      </c>
      <c r="D43" t="s">
        <v>479</v>
      </c>
      <c r="E43" t="s">
        <v>327</v>
      </c>
      <c r="F43" t="s">
        <v>395</v>
      </c>
      <c r="G43" t="s">
        <v>317</v>
      </c>
      <c r="H43" t="s">
        <v>419</v>
      </c>
      <c r="I43" t="s">
        <v>480</v>
      </c>
      <c r="J43" t="s">
        <v>1119</v>
      </c>
      <c r="K43" t="s">
        <v>320</v>
      </c>
      <c r="L43">
        <v>28812</v>
      </c>
      <c r="M43">
        <v>368600286</v>
      </c>
      <c r="N43" t="s">
        <v>481</v>
      </c>
      <c r="O43" t="s">
        <v>322</v>
      </c>
      <c r="P43" t="s">
        <v>482</v>
      </c>
      <c r="Q43">
        <v>50727</v>
      </c>
      <c r="R43" t="s">
        <v>483</v>
      </c>
      <c r="S43" t="s">
        <v>484</v>
      </c>
      <c r="W43">
        <v>45990</v>
      </c>
    </row>
    <row r="44" spans="1:23">
      <c r="A44">
        <v>43</v>
      </c>
      <c r="B44">
        <v>45965.443618715275</v>
      </c>
      <c r="C44" t="s">
        <v>313</v>
      </c>
      <c r="D44" t="s">
        <v>46</v>
      </c>
      <c r="E44" t="s">
        <v>327</v>
      </c>
      <c r="F44" t="s">
        <v>395</v>
      </c>
      <c r="G44" t="s">
        <v>317</v>
      </c>
      <c r="H44" t="s">
        <v>419</v>
      </c>
      <c r="I44" t="s">
        <v>496</v>
      </c>
      <c r="J44" t="s">
        <v>1120</v>
      </c>
      <c r="K44" t="s">
        <v>320</v>
      </c>
      <c r="L44">
        <v>27812</v>
      </c>
      <c r="M44">
        <v>963039411</v>
      </c>
      <c r="N44" t="s">
        <v>497</v>
      </c>
      <c r="O44" t="s">
        <v>322</v>
      </c>
      <c r="P44" t="s">
        <v>498</v>
      </c>
      <c r="Q44">
        <v>49727</v>
      </c>
      <c r="R44" t="s">
        <v>499</v>
      </c>
      <c r="S44" t="s">
        <v>500</v>
      </c>
      <c r="W44">
        <v>45990</v>
      </c>
    </row>
    <row r="45" spans="1:23">
      <c r="A45">
        <v>44</v>
      </c>
      <c r="B45">
        <v>45966.671634189814</v>
      </c>
      <c r="C45" t="s">
        <v>313</v>
      </c>
      <c r="D45" t="s">
        <v>234</v>
      </c>
      <c r="E45" t="s">
        <v>377</v>
      </c>
      <c r="F45" t="s">
        <v>395</v>
      </c>
      <c r="G45" t="s">
        <v>317</v>
      </c>
      <c r="H45" t="s">
        <v>419</v>
      </c>
      <c r="I45" t="s">
        <v>521</v>
      </c>
      <c r="J45" t="s">
        <v>1121</v>
      </c>
      <c r="K45" t="s">
        <v>320</v>
      </c>
      <c r="L45">
        <v>29290</v>
      </c>
      <c r="M45">
        <v>396438297</v>
      </c>
      <c r="N45" t="s">
        <v>522</v>
      </c>
      <c r="O45" t="s">
        <v>322</v>
      </c>
      <c r="P45" t="s">
        <v>523</v>
      </c>
      <c r="Q45">
        <v>51205</v>
      </c>
      <c r="R45" t="s">
        <v>524</v>
      </c>
      <c r="S45" t="s">
        <v>525</v>
      </c>
      <c r="W45">
        <v>45990</v>
      </c>
    </row>
    <row r="46" spans="1:23">
      <c r="A46">
        <v>45</v>
      </c>
      <c r="B46">
        <v>45968.650481064818</v>
      </c>
      <c r="C46" t="s">
        <v>313</v>
      </c>
      <c r="D46" t="s">
        <v>203</v>
      </c>
      <c r="E46" t="s">
        <v>654</v>
      </c>
      <c r="F46" t="s">
        <v>395</v>
      </c>
      <c r="G46" t="s">
        <v>317</v>
      </c>
      <c r="H46" t="s">
        <v>648</v>
      </c>
      <c r="I46" t="s">
        <v>655</v>
      </c>
      <c r="J46" t="s">
        <v>1122</v>
      </c>
      <c r="K46" t="s">
        <v>320</v>
      </c>
      <c r="L46">
        <v>28694</v>
      </c>
      <c r="M46">
        <v>982213478</v>
      </c>
      <c r="N46" t="s">
        <v>656</v>
      </c>
      <c r="O46" t="s">
        <v>322</v>
      </c>
      <c r="P46" t="s">
        <v>727</v>
      </c>
      <c r="Q46">
        <v>50609</v>
      </c>
      <c r="R46" t="s">
        <v>657</v>
      </c>
      <c r="S46" t="s">
        <v>658</v>
      </c>
      <c r="W46">
        <v>45994</v>
      </c>
    </row>
    <row r="47" spans="1:23">
      <c r="A47">
        <v>46</v>
      </c>
      <c r="B47">
        <v>45969.597649525458</v>
      </c>
      <c r="C47" t="s">
        <v>313</v>
      </c>
      <c r="D47" t="s">
        <v>215</v>
      </c>
      <c r="E47" t="s">
        <v>394</v>
      </c>
      <c r="F47" t="s">
        <v>395</v>
      </c>
      <c r="G47" t="s">
        <v>317</v>
      </c>
      <c r="H47" t="s">
        <v>396</v>
      </c>
      <c r="I47" t="s">
        <v>397</v>
      </c>
      <c r="J47" t="s">
        <v>1123</v>
      </c>
      <c r="K47" t="s">
        <v>320</v>
      </c>
      <c r="L47">
        <v>35235</v>
      </c>
      <c r="M47">
        <v>363602772</v>
      </c>
      <c r="N47" t="s">
        <v>398</v>
      </c>
      <c r="O47" t="s">
        <v>322</v>
      </c>
      <c r="P47" t="s">
        <v>728</v>
      </c>
      <c r="Q47">
        <v>35235</v>
      </c>
      <c r="R47" t="s">
        <v>399</v>
      </c>
      <c r="S47" t="s">
        <v>400</v>
      </c>
      <c r="W47">
        <v>45994</v>
      </c>
    </row>
    <row r="48" spans="1:23">
      <c r="A48">
        <v>47</v>
      </c>
      <c r="B48">
        <v>45963.715245416664</v>
      </c>
      <c r="C48" t="s">
        <v>313</v>
      </c>
      <c r="D48" t="s">
        <v>151</v>
      </c>
      <c r="E48" t="s">
        <v>327</v>
      </c>
      <c r="F48" t="s">
        <v>328</v>
      </c>
      <c r="G48" t="s">
        <v>317</v>
      </c>
      <c r="H48" t="s">
        <v>419</v>
      </c>
      <c r="I48" t="s">
        <v>438</v>
      </c>
      <c r="J48" t="s">
        <v>1124</v>
      </c>
      <c r="K48" t="s">
        <v>320</v>
      </c>
      <c r="L48">
        <v>28491</v>
      </c>
      <c r="M48">
        <v>982134533</v>
      </c>
      <c r="N48" t="s">
        <v>439</v>
      </c>
      <c r="O48" t="s">
        <v>322</v>
      </c>
      <c r="P48" t="s">
        <v>440</v>
      </c>
      <c r="Q48">
        <v>50406</v>
      </c>
      <c r="R48" t="s">
        <v>441</v>
      </c>
      <c r="S48" t="s">
        <v>442</v>
      </c>
      <c r="W48">
        <v>45993</v>
      </c>
    </row>
    <row r="49" spans="1:23">
      <c r="A49">
        <v>48</v>
      </c>
      <c r="B49">
        <v>45963.823740555556</v>
      </c>
      <c r="C49" t="s">
        <v>313</v>
      </c>
      <c r="D49" t="s">
        <v>151</v>
      </c>
      <c r="E49" t="s">
        <v>327</v>
      </c>
      <c r="F49" t="s">
        <v>328</v>
      </c>
      <c r="G49" t="s">
        <v>317</v>
      </c>
      <c r="H49" t="s">
        <v>329</v>
      </c>
      <c r="I49" t="s">
        <v>330</v>
      </c>
      <c r="J49" t="s">
        <v>1125</v>
      </c>
      <c r="K49" t="s">
        <v>320</v>
      </c>
      <c r="L49">
        <v>27769</v>
      </c>
      <c r="M49">
        <v>983492638</v>
      </c>
      <c r="N49" t="s">
        <v>331</v>
      </c>
      <c r="O49" t="s">
        <v>322</v>
      </c>
      <c r="P49" t="s">
        <v>332</v>
      </c>
      <c r="Q49">
        <v>49684</v>
      </c>
      <c r="R49" t="s">
        <v>333</v>
      </c>
      <c r="S49" t="s">
        <v>334</v>
      </c>
      <c r="W49">
        <v>45992</v>
      </c>
    </row>
    <row r="50" spans="1:23">
      <c r="A50">
        <v>49</v>
      </c>
      <c r="B50">
        <v>45964.442399814812</v>
      </c>
      <c r="C50" t="s">
        <v>313</v>
      </c>
      <c r="D50" t="s">
        <v>153</v>
      </c>
      <c r="E50" t="s">
        <v>327</v>
      </c>
      <c r="F50" t="s">
        <v>328</v>
      </c>
      <c r="G50" t="s">
        <v>317</v>
      </c>
      <c r="H50" t="s">
        <v>342</v>
      </c>
      <c r="I50" t="s">
        <v>343</v>
      </c>
      <c r="J50" t="s">
        <v>1126</v>
      </c>
      <c r="K50" t="s">
        <v>320</v>
      </c>
      <c r="L50">
        <v>27872</v>
      </c>
      <c r="M50">
        <v>982033412</v>
      </c>
      <c r="N50" t="s">
        <v>344</v>
      </c>
      <c r="O50" t="s">
        <v>322</v>
      </c>
      <c r="P50" t="s">
        <v>345</v>
      </c>
      <c r="Q50">
        <v>49787</v>
      </c>
      <c r="R50" t="s">
        <v>346</v>
      </c>
      <c r="S50" t="s">
        <v>347</v>
      </c>
      <c r="W50">
        <v>45994</v>
      </c>
    </row>
    <row r="51" spans="1:23">
      <c r="A51">
        <v>50</v>
      </c>
      <c r="B51">
        <v>45964.662542002319</v>
      </c>
      <c r="C51" t="s">
        <v>313</v>
      </c>
      <c r="D51" t="s">
        <v>153</v>
      </c>
      <c r="E51" t="s">
        <v>327</v>
      </c>
      <c r="F51" t="s">
        <v>328</v>
      </c>
      <c r="G51" t="s">
        <v>317</v>
      </c>
      <c r="H51" t="s">
        <v>557</v>
      </c>
      <c r="I51" t="s">
        <v>567</v>
      </c>
      <c r="J51" t="s">
        <v>1127</v>
      </c>
      <c r="K51" t="s">
        <v>320</v>
      </c>
      <c r="L51">
        <v>29145</v>
      </c>
      <c r="M51">
        <v>989487205</v>
      </c>
      <c r="N51" t="s">
        <v>568</v>
      </c>
      <c r="O51" t="s">
        <v>322</v>
      </c>
      <c r="P51" t="s">
        <v>569</v>
      </c>
      <c r="Q51">
        <v>51060</v>
      </c>
      <c r="R51" t="s">
        <v>570</v>
      </c>
      <c r="S51" t="s">
        <v>571</v>
      </c>
      <c r="W51">
        <v>45994</v>
      </c>
    </row>
    <row r="52" spans="1:23">
      <c r="A52">
        <v>51</v>
      </c>
      <c r="B52">
        <v>45967.406030509257</v>
      </c>
      <c r="C52" t="s">
        <v>313</v>
      </c>
      <c r="D52" t="s">
        <v>140</v>
      </c>
      <c r="E52" t="s">
        <v>315</v>
      </c>
      <c r="F52" t="s">
        <v>328</v>
      </c>
      <c r="G52" t="s">
        <v>349</v>
      </c>
      <c r="H52" t="s">
        <v>419</v>
      </c>
      <c r="I52" t="s">
        <v>420</v>
      </c>
      <c r="J52" t="s">
        <v>1128</v>
      </c>
      <c r="K52" t="s">
        <v>352</v>
      </c>
      <c r="L52">
        <v>27774</v>
      </c>
      <c r="M52">
        <v>388450376</v>
      </c>
      <c r="N52" t="s">
        <v>421</v>
      </c>
      <c r="O52" t="s">
        <v>322</v>
      </c>
      <c r="P52" t="s">
        <v>422</v>
      </c>
      <c r="Q52">
        <v>49689</v>
      </c>
      <c r="R52" t="s">
        <v>423</v>
      </c>
      <c r="S52" t="s">
        <v>424</v>
      </c>
      <c r="W52">
        <v>45990</v>
      </c>
    </row>
    <row r="53" spans="1:23">
      <c r="A53">
        <v>52</v>
      </c>
      <c r="B53">
        <v>45967.659419409727</v>
      </c>
      <c r="C53" t="s">
        <v>313</v>
      </c>
      <c r="D53" t="s">
        <v>143</v>
      </c>
      <c r="E53" t="s">
        <v>315</v>
      </c>
      <c r="F53" t="s">
        <v>328</v>
      </c>
      <c r="G53" t="s">
        <v>349</v>
      </c>
      <c r="H53" t="s">
        <v>360</v>
      </c>
      <c r="I53" t="s">
        <v>389</v>
      </c>
      <c r="J53" t="s">
        <v>1129</v>
      </c>
      <c r="K53" t="s">
        <v>352</v>
      </c>
      <c r="L53">
        <v>28494</v>
      </c>
      <c r="M53">
        <v>972588455</v>
      </c>
      <c r="N53" t="s">
        <v>390</v>
      </c>
      <c r="O53" t="s">
        <v>322</v>
      </c>
      <c r="P53" t="s">
        <v>391</v>
      </c>
      <c r="Q53">
        <v>50409</v>
      </c>
      <c r="R53" t="s">
        <v>392</v>
      </c>
      <c r="S53" t="s">
        <v>393</v>
      </c>
      <c r="W53">
        <v>45990</v>
      </c>
    </row>
    <row r="54" spans="1:23">
      <c r="A54">
        <v>53</v>
      </c>
      <c r="B54">
        <v>45968.582219907403</v>
      </c>
      <c r="C54" t="s">
        <v>313</v>
      </c>
      <c r="D54" t="s">
        <v>238</v>
      </c>
      <c r="E54" t="s">
        <v>315</v>
      </c>
      <c r="F54" t="s">
        <v>328</v>
      </c>
      <c r="G54" t="s">
        <v>317</v>
      </c>
      <c r="H54" t="s">
        <v>360</v>
      </c>
      <c r="I54" t="s">
        <v>372</v>
      </c>
      <c r="J54" t="s">
        <v>1130</v>
      </c>
      <c r="K54" t="s">
        <v>320</v>
      </c>
      <c r="L54">
        <v>30871</v>
      </c>
      <c r="M54">
        <v>365263586</v>
      </c>
      <c r="N54" t="s">
        <v>373</v>
      </c>
      <c r="O54" t="s">
        <v>322</v>
      </c>
      <c r="P54" t="s">
        <v>374</v>
      </c>
      <c r="Q54">
        <v>52786</v>
      </c>
      <c r="R54" t="s">
        <v>375</v>
      </c>
      <c r="S54" t="s">
        <v>376</v>
      </c>
      <c r="W54">
        <v>45994</v>
      </c>
    </row>
    <row r="55" spans="1:23">
      <c r="A55">
        <v>54</v>
      </c>
      <c r="B55">
        <v>45968.639052129627</v>
      </c>
      <c r="C55" t="s">
        <v>313</v>
      </c>
      <c r="D55" t="s">
        <v>454</v>
      </c>
      <c r="E55" t="s">
        <v>315</v>
      </c>
      <c r="F55" t="s">
        <v>328</v>
      </c>
      <c r="G55" t="s">
        <v>317</v>
      </c>
      <c r="H55" t="s">
        <v>419</v>
      </c>
      <c r="I55" t="s">
        <v>455</v>
      </c>
      <c r="J55" t="s">
        <v>1131</v>
      </c>
      <c r="K55" t="s">
        <v>320</v>
      </c>
      <c r="L55">
        <v>29768</v>
      </c>
      <c r="M55">
        <v>967932583</v>
      </c>
      <c r="N55" t="s">
        <v>456</v>
      </c>
      <c r="O55" t="s">
        <v>322</v>
      </c>
      <c r="P55" t="s">
        <v>457</v>
      </c>
      <c r="Q55">
        <v>51683</v>
      </c>
      <c r="R55" t="s">
        <v>729</v>
      </c>
      <c r="S55" t="s">
        <v>730</v>
      </c>
      <c r="W55">
        <v>45990</v>
      </c>
    </row>
    <row r="56" spans="1:23">
      <c r="A56">
        <v>55</v>
      </c>
      <c r="B56">
        <v>45962.759622083337</v>
      </c>
      <c r="C56" t="s">
        <v>313</v>
      </c>
      <c r="D56" t="s">
        <v>640</v>
      </c>
      <c r="E56" t="s">
        <v>358</v>
      </c>
      <c r="F56" t="s">
        <v>335</v>
      </c>
      <c r="G56" t="s">
        <v>317</v>
      </c>
      <c r="H56" t="s">
        <v>641</v>
      </c>
      <c r="I56" t="s">
        <v>642</v>
      </c>
      <c r="J56" t="s">
        <v>1132</v>
      </c>
      <c r="K56" t="s">
        <v>320</v>
      </c>
      <c r="L56">
        <v>28844</v>
      </c>
      <c r="M56">
        <v>967808833</v>
      </c>
      <c r="N56" t="s">
        <v>643</v>
      </c>
      <c r="O56" t="s">
        <v>322</v>
      </c>
      <c r="P56" t="s">
        <v>644</v>
      </c>
      <c r="Q56">
        <v>44318</v>
      </c>
      <c r="R56" t="s">
        <v>645</v>
      </c>
      <c r="S56" t="s">
        <v>646</v>
      </c>
      <c r="V56" t="s">
        <v>647</v>
      </c>
      <c r="W56">
        <v>45994</v>
      </c>
    </row>
    <row r="57" spans="1:23">
      <c r="A57">
        <v>56</v>
      </c>
      <c r="B57">
        <v>45962.813519293981</v>
      </c>
      <c r="C57" t="s">
        <v>313</v>
      </c>
      <c r="D57" t="s">
        <v>110</v>
      </c>
      <c r="E57" t="s">
        <v>327</v>
      </c>
      <c r="F57" t="s">
        <v>335</v>
      </c>
      <c r="G57" t="s">
        <v>317</v>
      </c>
      <c r="H57" t="s">
        <v>419</v>
      </c>
      <c r="I57" t="s">
        <v>501</v>
      </c>
      <c r="J57" t="s">
        <v>1133</v>
      </c>
      <c r="K57" t="s">
        <v>320</v>
      </c>
      <c r="L57">
        <v>28619</v>
      </c>
      <c r="M57">
        <v>383636998</v>
      </c>
      <c r="N57" t="s">
        <v>502</v>
      </c>
      <c r="O57" t="s">
        <v>322</v>
      </c>
      <c r="P57" t="s">
        <v>503</v>
      </c>
      <c r="Q57">
        <v>50534</v>
      </c>
      <c r="R57" t="s">
        <v>504</v>
      </c>
      <c r="S57" t="s">
        <v>505</v>
      </c>
      <c r="W57">
        <v>45994</v>
      </c>
    </row>
    <row r="58" spans="1:23">
      <c r="A58">
        <v>57</v>
      </c>
      <c r="B58">
        <v>45963.644253182865</v>
      </c>
      <c r="C58" t="s">
        <v>313</v>
      </c>
      <c r="D58" t="s">
        <v>43</v>
      </c>
      <c r="E58" t="s">
        <v>394</v>
      </c>
      <c r="F58" t="s">
        <v>335</v>
      </c>
      <c r="G58" t="s">
        <v>317</v>
      </c>
      <c r="H58" t="s">
        <v>577</v>
      </c>
      <c r="I58" t="s">
        <v>578</v>
      </c>
      <c r="J58" t="s">
        <v>1134</v>
      </c>
      <c r="K58" t="s">
        <v>320</v>
      </c>
      <c r="L58">
        <v>29530</v>
      </c>
      <c r="M58">
        <v>904089860</v>
      </c>
      <c r="N58" t="s">
        <v>579</v>
      </c>
      <c r="O58" t="s">
        <v>322</v>
      </c>
      <c r="P58" t="s">
        <v>580</v>
      </c>
      <c r="Q58">
        <v>51445</v>
      </c>
      <c r="R58" t="s">
        <v>581</v>
      </c>
      <c r="S58" t="s">
        <v>582</v>
      </c>
      <c r="W58">
        <v>45994</v>
      </c>
    </row>
    <row r="59" spans="1:23">
      <c r="A59">
        <v>58</v>
      </c>
      <c r="B59">
        <v>45964.952334953705</v>
      </c>
      <c r="C59" t="s">
        <v>313</v>
      </c>
      <c r="D59" t="s">
        <v>24</v>
      </c>
      <c r="E59" t="s">
        <v>315</v>
      </c>
      <c r="F59" t="s">
        <v>335</v>
      </c>
      <c r="G59" t="s">
        <v>317</v>
      </c>
      <c r="H59" t="s">
        <v>551</v>
      </c>
      <c r="I59" t="s">
        <v>552</v>
      </c>
      <c r="J59" t="s">
        <v>1135</v>
      </c>
      <c r="K59" t="s">
        <v>320</v>
      </c>
      <c r="L59">
        <v>28413</v>
      </c>
      <c r="M59">
        <v>978128811</v>
      </c>
      <c r="N59" t="s">
        <v>553</v>
      </c>
      <c r="O59" t="s">
        <v>322</v>
      </c>
      <c r="P59" t="s">
        <v>554</v>
      </c>
      <c r="Q59">
        <v>50328</v>
      </c>
      <c r="R59" t="s">
        <v>555</v>
      </c>
      <c r="S59" t="s">
        <v>556</v>
      </c>
      <c r="W59">
        <v>45994</v>
      </c>
    </row>
    <row r="60" spans="1:23">
      <c r="A60">
        <v>59</v>
      </c>
      <c r="B60">
        <v>45968.415322777779</v>
      </c>
      <c r="C60" t="s">
        <v>313</v>
      </c>
      <c r="D60" t="s">
        <v>46</v>
      </c>
      <c r="E60" t="s">
        <v>327</v>
      </c>
      <c r="F60" t="s">
        <v>335</v>
      </c>
      <c r="G60" t="s">
        <v>317</v>
      </c>
      <c r="H60" t="s">
        <v>419</v>
      </c>
      <c r="I60" t="s">
        <v>506</v>
      </c>
      <c r="J60" t="s">
        <v>1136</v>
      </c>
      <c r="K60" t="s">
        <v>320</v>
      </c>
      <c r="L60">
        <v>31765</v>
      </c>
      <c r="M60">
        <v>985559286</v>
      </c>
      <c r="N60" t="s">
        <v>507</v>
      </c>
      <c r="O60" t="s">
        <v>322</v>
      </c>
      <c r="P60" t="s">
        <v>508</v>
      </c>
      <c r="Q60">
        <v>46375</v>
      </c>
      <c r="R60" t="s">
        <v>509</v>
      </c>
      <c r="S60" t="s">
        <v>510</v>
      </c>
      <c r="W60">
        <v>45990</v>
      </c>
    </row>
    <row r="61" spans="1:23">
      <c r="A61">
        <v>60</v>
      </c>
      <c r="B61">
        <v>45968.574731168977</v>
      </c>
      <c r="C61" t="s">
        <v>313</v>
      </c>
      <c r="D61" t="s">
        <v>38</v>
      </c>
      <c r="E61" t="s">
        <v>315</v>
      </c>
      <c r="F61" t="s">
        <v>335</v>
      </c>
      <c r="G61" t="s">
        <v>317</v>
      </c>
      <c r="H61" t="s">
        <v>336</v>
      </c>
      <c r="I61" t="s">
        <v>337</v>
      </c>
      <c r="J61" t="s">
        <v>1137</v>
      </c>
      <c r="K61" t="s">
        <v>320</v>
      </c>
      <c r="L61">
        <v>30721</v>
      </c>
      <c r="M61">
        <v>989897556</v>
      </c>
      <c r="N61" t="s">
        <v>338</v>
      </c>
      <c r="O61" t="s">
        <v>322</v>
      </c>
      <c r="P61" t="s">
        <v>339</v>
      </c>
      <c r="Q61">
        <v>52636</v>
      </c>
      <c r="R61" t="s">
        <v>340</v>
      </c>
      <c r="S61" t="s">
        <v>341</v>
      </c>
      <c r="W61">
        <v>45994</v>
      </c>
    </row>
    <row r="62" spans="1:23">
      <c r="A62">
        <v>61</v>
      </c>
      <c r="B62">
        <v>45963.743534039357</v>
      </c>
      <c r="C62" t="s">
        <v>313</v>
      </c>
      <c r="D62" t="s">
        <v>622</v>
      </c>
      <c r="E62" t="s">
        <v>377</v>
      </c>
      <c r="F62" t="s">
        <v>623</v>
      </c>
      <c r="G62" t="s">
        <v>317</v>
      </c>
      <c r="H62" t="s">
        <v>595</v>
      </c>
      <c r="I62" t="s">
        <v>624</v>
      </c>
      <c r="J62" t="s">
        <v>669</v>
      </c>
      <c r="K62" t="s">
        <v>320</v>
      </c>
      <c r="L62">
        <v>30467</v>
      </c>
      <c r="M62">
        <v>977604640</v>
      </c>
      <c r="N62" t="s">
        <v>625</v>
      </c>
      <c r="O62" t="s">
        <v>322</v>
      </c>
      <c r="P62" t="s">
        <v>626</v>
      </c>
      <c r="Q62">
        <v>52382</v>
      </c>
      <c r="R62" t="s">
        <v>627</v>
      </c>
      <c r="S62" t="s">
        <v>628</v>
      </c>
      <c r="T62" t="s">
        <v>629</v>
      </c>
      <c r="U62">
        <v>49520</v>
      </c>
      <c r="V62" t="s">
        <v>630</v>
      </c>
      <c r="W62">
        <v>45990</v>
      </c>
    </row>
  </sheetData>
  <hyperlinks>
    <hyperlink ref="R2" r:id="rId1" xr:uid="{00000000-0004-0000-0700-000000000000}"/>
    <hyperlink ref="S2" r:id="rId2" xr:uid="{00000000-0004-0000-0700-000001000000}"/>
    <hyperlink ref="R3" r:id="rId3" xr:uid="{00000000-0004-0000-0700-000002000000}"/>
    <hyperlink ref="S3" r:id="rId4" xr:uid="{00000000-0004-0000-0700-000003000000}"/>
    <hyperlink ref="R4" r:id="rId5" xr:uid="{00000000-0004-0000-0700-000004000000}"/>
    <hyperlink ref="S4" r:id="rId6" xr:uid="{00000000-0004-0000-0700-000005000000}"/>
    <hyperlink ref="R5" r:id="rId7" xr:uid="{00000000-0004-0000-0700-000006000000}"/>
    <hyperlink ref="S5" r:id="rId8" xr:uid="{00000000-0004-0000-0700-000007000000}"/>
    <hyperlink ref="R6" r:id="rId9" xr:uid="{00000000-0004-0000-0700-000008000000}"/>
    <hyperlink ref="S6" r:id="rId10" xr:uid="{00000000-0004-0000-0700-000009000000}"/>
    <hyperlink ref="R7" r:id="rId11" xr:uid="{00000000-0004-0000-0700-00000A000000}"/>
    <hyperlink ref="S7" r:id="rId12" xr:uid="{00000000-0004-0000-0700-00000B000000}"/>
    <hyperlink ref="R8" r:id="rId13" xr:uid="{00000000-0004-0000-0700-00000C000000}"/>
    <hyperlink ref="S8" r:id="rId14" xr:uid="{00000000-0004-0000-0700-00000D000000}"/>
    <hyperlink ref="R9" r:id="rId15" xr:uid="{00000000-0004-0000-0700-00000E000000}"/>
    <hyperlink ref="S9" r:id="rId16" xr:uid="{00000000-0004-0000-0700-00000F000000}"/>
    <hyperlink ref="R10" r:id="rId17" xr:uid="{00000000-0004-0000-0700-000010000000}"/>
    <hyperlink ref="S10" r:id="rId18" xr:uid="{00000000-0004-0000-0700-000011000000}"/>
    <hyperlink ref="V10" r:id="rId19" xr:uid="{00000000-0004-0000-0700-000012000000}"/>
    <hyperlink ref="R11" r:id="rId20" xr:uid="{00000000-0004-0000-0700-000013000000}"/>
    <hyperlink ref="S11" r:id="rId21" xr:uid="{00000000-0004-0000-0700-000014000000}"/>
    <hyperlink ref="R12" r:id="rId22" xr:uid="{00000000-0004-0000-0700-000015000000}"/>
    <hyperlink ref="S12" r:id="rId23" xr:uid="{00000000-0004-0000-0700-000016000000}"/>
    <hyperlink ref="R13" r:id="rId24" xr:uid="{00000000-0004-0000-0700-000017000000}"/>
    <hyperlink ref="S13" r:id="rId25" xr:uid="{00000000-0004-0000-0700-000018000000}"/>
    <hyperlink ref="R15" r:id="rId26" xr:uid="{00000000-0004-0000-0700-000019000000}"/>
    <hyperlink ref="S15" r:id="rId27" xr:uid="{00000000-0004-0000-0700-00001A000000}"/>
    <hyperlink ref="R16" r:id="rId28" xr:uid="{00000000-0004-0000-0700-00001B000000}"/>
    <hyperlink ref="S16" r:id="rId29" xr:uid="{00000000-0004-0000-0700-00001C000000}"/>
    <hyperlink ref="R17" r:id="rId30" xr:uid="{00000000-0004-0000-0700-00001D000000}"/>
    <hyperlink ref="S17" r:id="rId31" xr:uid="{00000000-0004-0000-0700-00001E000000}"/>
    <hyperlink ref="R18" r:id="rId32" xr:uid="{00000000-0004-0000-0700-00001F000000}"/>
    <hyperlink ref="S18" r:id="rId33" xr:uid="{00000000-0004-0000-0700-000020000000}"/>
    <hyperlink ref="R19" r:id="rId34" xr:uid="{00000000-0004-0000-0700-000021000000}"/>
    <hyperlink ref="S19" r:id="rId35" xr:uid="{00000000-0004-0000-0700-000022000000}"/>
    <hyperlink ref="R20" r:id="rId36" xr:uid="{00000000-0004-0000-0700-000023000000}"/>
    <hyperlink ref="S20" r:id="rId37" xr:uid="{00000000-0004-0000-0700-000024000000}"/>
    <hyperlink ref="R21" r:id="rId38" xr:uid="{00000000-0004-0000-0700-000025000000}"/>
    <hyperlink ref="S21" r:id="rId39" xr:uid="{00000000-0004-0000-0700-000026000000}"/>
    <hyperlink ref="R22" r:id="rId40" xr:uid="{00000000-0004-0000-0700-000027000000}"/>
    <hyperlink ref="S22" r:id="rId41" xr:uid="{00000000-0004-0000-0700-000028000000}"/>
    <hyperlink ref="R23" r:id="rId42" xr:uid="{00000000-0004-0000-0700-000029000000}"/>
    <hyperlink ref="S23" r:id="rId43" xr:uid="{00000000-0004-0000-0700-00002A000000}"/>
    <hyperlink ref="R24" r:id="rId44" xr:uid="{00000000-0004-0000-0700-00002B000000}"/>
    <hyperlink ref="S24" r:id="rId45" xr:uid="{00000000-0004-0000-0700-00002C000000}"/>
    <hyperlink ref="R25" r:id="rId46" xr:uid="{00000000-0004-0000-0700-00002D000000}"/>
    <hyperlink ref="S25" r:id="rId47" xr:uid="{00000000-0004-0000-0700-00002E000000}"/>
    <hyperlink ref="R26" r:id="rId48" xr:uid="{00000000-0004-0000-0700-00002F000000}"/>
    <hyperlink ref="S26" r:id="rId49" xr:uid="{00000000-0004-0000-0700-000030000000}"/>
    <hyperlink ref="V26" r:id="rId50" xr:uid="{00000000-0004-0000-0700-000031000000}"/>
    <hyperlink ref="R27" r:id="rId51" xr:uid="{00000000-0004-0000-0700-000032000000}"/>
    <hyperlink ref="S27" r:id="rId52" xr:uid="{00000000-0004-0000-0700-000033000000}"/>
    <hyperlink ref="R28" r:id="rId53" xr:uid="{00000000-0004-0000-0700-000034000000}"/>
    <hyperlink ref="S28" r:id="rId54" xr:uid="{00000000-0004-0000-0700-000035000000}"/>
    <hyperlink ref="R29" r:id="rId55" xr:uid="{00000000-0004-0000-0700-000036000000}"/>
    <hyperlink ref="S29" r:id="rId56" xr:uid="{00000000-0004-0000-0700-000037000000}"/>
    <hyperlink ref="R30" r:id="rId57" xr:uid="{00000000-0004-0000-0700-000038000000}"/>
    <hyperlink ref="S30" r:id="rId58" xr:uid="{00000000-0004-0000-0700-000039000000}"/>
    <hyperlink ref="R31" r:id="rId59" xr:uid="{00000000-0004-0000-0700-00003A000000}"/>
    <hyperlink ref="S31" r:id="rId60" xr:uid="{00000000-0004-0000-0700-00003B000000}"/>
    <hyperlink ref="R32" r:id="rId61" xr:uid="{00000000-0004-0000-0700-00003C000000}"/>
    <hyperlink ref="S32" r:id="rId62" xr:uid="{00000000-0004-0000-0700-00003D000000}"/>
    <hyperlink ref="R33" r:id="rId63" xr:uid="{00000000-0004-0000-0700-00003E000000}"/>
    <hyperlink ref="S33" r:id="rId64" xr:uid="{00000000-0004-0000-0700-00003F000000}"/>
    <hyperlink ref="R34" r:id="rId65" xr:uid="{00000000-0004-0000-0700-000040000000}"/>
    <hyperlink ref="S34" r:id="rId66" xr:uid="{00000000-0004-0000-0700-000041000000}"/>
    <hyperlink ref="R35" r:id="rId67" xr:uid="{00000000-0004-0000-0700-000042000000}"/>
    <hyperlink ref="S35" r:id="rId68" xr:uid="{00000000-0004-0000-0700-000043000000}"/>
    <hyperlink ref="R36" r:id="rId69" xr:uid="{00000000-0004-0000-0700-000044000000}"/>
    <hyperlink ref="S36" r:id="rId70" xr:uid="{00000000-0004-0000-0700-000045000000}"/>
    <hyperlink ref="R37" r:id="rId71" xr:uid="{00000000-0004-0000-0700-000046000000}"/>
    <hyperlink ref="S37" r:id="rId72" xr:uid="{00000000-0004-0000-0700-000047000000}"/>
    <hyperlink ref="R38" r:id="rId73" xr:uid="{00000000-0004-0000-0700-000048000000}"/>
    <hyperlink ref="S38" r:id="rId74" xr:uid="{00000000-0004-0000-0700-000049000000}"/>
    <hyperlink ref="R39" r:id="rId75" xr:uid="{00000000-0004-0000-0700-00004A000000}"/>
    <hyperlink ref="S39" r:id="rId76" xr:uid="{00000000-0004-0000-0700-00004B000000}"/>
    <hyperlink ref="R40" r:id="rId77" xr:uid="{00000000-0004-0000-0700-00004C000000}"/>
    <hyperlink ref="S40" r:id="rId78" xr:uid="{00000000-0004-0000-0700-00004D000000}"/>
    <hyperlink ref="R41" r:id="rId79" xr:uid="{00000000-0004-0000-0700-00004E000000}"/>
    <hyperlink ref="S41" r:id="rId80" xr:uid="{00000000-0004-0000-0700-00004F000000}"/>
    <hyperlink ref="R42" r:id="rId81" xr:uid="{00000000-0004-0000-0700-000050000000}"/>
    <hyperlink ref="S42" r:id="rId82" xr:uid="{00000000-0004-0000-0700-000051000000}"/>
    <hyperlink ref="R43" r:id="rId83" xr:uid="{00000000-0004-0000-0700-000052000000}"/>
    <hyperlink ref="S43" r:id="rId84" xr:uid="{00000000-0004-0000-0700-000053000000}"/>
    <hyperlink ref="R44" r:id="rId85" xr:uid="{00000000-0004-0000-0700-000054000000}"/>
    <hyperlink ref="S44" r:id="rId86" xr:uid="{00000000-0004-0000-0700-000055000000}"/>
    <hyperlink ref="R45" r:id="rId87" xr:uid="{00000000-0004-0000-0700-000056000000}"/>
    <hyperlink ref="S45" r:id="rId88" xr:uid="{00000000-0004-0000-0700-000057000000}"/>
    <hyperlink ref="R46" r:id="rId89" xr:uid="{00000000-0004-0000-0700-000058000000}"/>
    <hyperlink ref="S46" r:id="rId90" xr:uid="{00000000-0004-0000-0700-000059000000}"/>
    <hyperlink ref="R47" r:id="rId91" xr:uid="{00000000-0004-0000-0700-00005A000000}"/>
    <hyperlink ref="S47" r:id="rId92" xr:uid="{00000000-0004-0000-0700-00005B000000}"/>
    <hyperlink ref="R48" r:id="rId93" xr:uid="{00000000-0004-0000-0700-00005C000000}"/>
    <hyperlink ref="S48" r:id="rId94" xr:uid="{00000000-0004-0000-0700-00005D000000}"/>
    <hyperlink ref="R49" r:id="rId95" xr:uid="{00000000-0004-0000-0700-00005E000000}"/>
    <hyperlink ref="S49" r:id="rId96" xr:uid="{00000000-0004-0000-0700-00005F000000}"/>
    <hyperlink ref="R50" r:id="rId97" xr:uid="{00000000-0004-0000-0700-000060000000}"/>
    <hyperlink ref="S50" r:id="rId98" xr:uid="{00000000-0004-0000-0700-000061000000}"/>
    <hyperlink ref="R51" r:id="rId99" xr:uid="{00000000-0004-0000-0700-000062000000}"/>
    <hyperlink ref="S51" r:id="rId100" xr:uid="{00000000-0004-0000-0700-000063000000}"/>
    <hyperlink ref="R52" r:id="rId101" xr:uid="{00000000-0004-0000-0700-000064000000}"/>
    <hyperlink ref="S52" r:id="rId102" xr:uid="{00000000-0004-0000-0700-000065000000}"/>
    <hyperlink ref="R53" r:id="rId103" xr:uid="{00000000-0004-0000-0700-000066000000}"/>
    <hyperlink ref="S53" r:id="rId104" xr:uid="{00000000-0004-0000-0700-000067000000}"/>
    <hyperlink ref="R54" r:id="rId105" xr:uid="{00000000-0004-0000-0700-000068000000}"/>
    <hyperlink ref="S54" r:id="rId106" xr:uid="{00000000-0004-0000-0700-000069000000}"/>
    <hyperlink ref="R55" r:id="rId107" xr:uid="{00000000-0004-0000-0700-00006A000000}"/>
    <hyperlink ref="S55" r:id="rId108" xr:uid="{00000000-0004-0000-0700-00006B000000}"/>
    <hyperlink ref="R56" r:id="rId109" xr:uid="{00000000-0004-0000-0700-00006C000000}"/>
    <hyperlink ref="S56" r:id="rId110" xr:uid="{00000000-0004-0000-0700-00006D000000}"/>
    <hyperlink ref="V56" r:id="rId111" xr:uid="{00000000-0004-0000-0700-00006E000000}"/>
    <hyperlink ref="R57" r:id="rId112" xr:uid="{00000000-0004-0000-0700-00006F000000}"/>
    <hyperlink ref="S57" r:id="rId113" xr:uid="{00000000-0004-0000-0700-000070000000}"/>
    <hyperlink ref="R58" r:id="rId114" xr:uid="{00000000-0004-0000-0700-000071000000}"/>
    <hyperlink ref="S58" r:id="rId115" xr:uid="{00000000-0004-0000-0700-000072000000}"/>
    <hyperlink ref="R59" r:id="rId116" xr:uid="{00000000-0004-0000-0700-000073000000}"/>
    <hyperlink ref="S59" r:id="rId117" xr:uid="{00000000-0004-0000-0700-000074000000}"/>
    <hyperlink ref="R60" r:id="rId118" xr:uid="{00000000-0004-0000-0700-000075000000}"/>
    <hyperlink ref="S60" r:id="rId119" xr:uid="{00000000-0004-0000-0700-000076000000}"/>
    <hyperlink ref="R61" r:id="rId120" xr:uid="{00000000-0004-0000-0700-000077000000}"/>
    <hyperlink ref="S61" r:id="rId121" xr:uid="{00000000-0004-0000-0700-000078000000}"/>
    <hyperlink ref="R62" r:id="rId122" xr:uid="{00000000-0004-0000-0700-000079000000}"/>
    <hyperlink ref="S62" r:id="rId123" xr:uid="{00000000-0004-0000-0700-00007A000000}"/>
    <hyperlink ref="V62" r:id="rId124" xr:uid="{00000000-0004-0000-0700-00007B000000}"/>
    <hyperlink ref="R14" r:id="rId125" xr:uid="{00000000-0004-0000-0700-00007C000000}"/>
    <hyperlink ref="S14" r:id="rId126" xr:uid="{00000000-0004-0000-0700-00007D000000}"/>
  </hyperlinks>
  <pageMargins left="0.7" right="0.7" top="0.75" bottom="0.75" header="0.3" footer="0.3"/>
  <tableParts count="1">
    <tablePart r:id="rId12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Y49"/>
  <sheetViews>
    <sheetView topLeftCell="A34" workbookViewId="0">
      <selection activeCell="D13" sqref="D13"/>
    </sheetView>
  </sheetViews>
  <sheetFormatPr defaultRowHeight="15"/>
  <cols>
    <col min="1" max="1" width="6.140625" customWidth="1"/>
    <col min="2" max="2" width="15" customWidth="1"/>
    <col min="3" max="3" width="18.28515625" customWidth="1"/>
    <col min="4" max="4" width="38.5703125" customWidth="1"/>
    <col min="5" max="5" width="46" bestFit="1" customWidth="1"/>
    <col min="6" max="6" width="26.5703125" customWidth="1"/>
    <col min="7" max="7" width="35.28515625" bestFit="1" customWidth="1"/>
    <col min="8" max="8" width="25.42578125" customWidth="1"/>
    <col min="9" max="9" width="27.5703125" customWidth="1"/>
    <col min="10" max="10" width="39.85546875" customWidth="1"/>
    <col min="11" max="11" width="24.140625" bestFit="1" customWidth="1"/>
    <col min="12" max="12" width="35.7109375" customWidth="1"/>
    <col min="13" max="13" width="28.5703125" customWidth="1"/>
    <col min="14" max="14" width="22" customWidth="1"/>
    <col min="15" max="15" width="66.5703125" customWidth="1"/>
    <col min="16" max="16" width="14.140625" bestFit="1" customWidth="1"/>
    <col min="17" max="17" width="19.85546875" customWidth="1"/>
    <col min="18" max="18" width="74" bestFit="1" customWidth="1"/>
    <col min="19" max="19" width="74.5703125" bestFit="1" customWidth="1"/>
    <col min="20" max="20" width="13.42578125" customWidth="1"/>
    <col min="21" max="21" width="22.7109375" customWidth="1"/>
    <col min="22" max="22" width="69.5703125" bestFit="1" customWidth="1"/>
    <col min="23" max="23" width="15.140625" customWidth="1"/>
    <col min="24" max="24" width="28.28515625" bestFit="1" customWidth="1"/>
    <col min="25" max="25" width="9.7109375" customWidth="1"/>
  </cols>
  <sheetData>
    <row r="1" spans="1:25">
      <c r="A1" t="s">
        <v>296</v>
      </c>
      <c r="B1" t="s">
        <v>297</v>
      </c>
      <c r="C1" t="s">
        <v>700</v>
      </c>
      <c r="D1" t="s">
        <v>731</v>
      </c>
      <c r="E1" t="s">
        <v>3</v>
      </c>
      <c r="F1" t="s">
        <v>299</v>
      </c>
      <c r="G1" t="s">
        <v>306</v>
      </c>
      <c r="H1" t="s">
        <v>300</v>
      </c>
      <c r="I1" t="s">
        <v>301</v>
      </c>
      <c r="J1" t="s">
        <v>302</v>
      </c>
      <c r="K1" t="s">
        <v>1044</v>
      </c>
      <c r="L1" t="s">
        <v>303</v>
      </c>
      <c r="M1" t="s">
        <v>304</v>
      </c>
      <c r="N1" t="s">
        <v>305</v>
      </c>
      <c r="O1" t="s">
        <v>307</v>
      </c>
      <c r="P1" t="s">
        <v>308</v>
      </c>
      <c r="Q1" t="s">
        <v>309</v>
      </c>
      <c r="R1" t="s">
        <v>310</v>
      </c>
      <c r="S1" t="s">
        <v>311</v>
      </c>
      <c r="T1" t="s">
        <v>702</v>
      </c>
      <c r="U1" t="s">
        <v>703</v>
      </c>
      <c r="V1" t="s">
        <v>732</v>
      </c>
      <c r="W1" t="s">
        <v>733</v>
      </c>
      <c r="X1" t="s">
        <v>705</v>
      </c>
      <c r="Y1" t="s">
        <v>706</v>
      </c>
    </row>
    <row r="2" spans="1:25">
      <c r="A2">
        <v>1</v>
      </c>
      <c r="B2">
        <v>45963.607692060184</v>
      </c>
      <c r="C2" t="s">
        <v>313</v>
      </c>
      <c r="D2" t="s">
        <v>209</v>
      </c>
      <c r="E2" t="s">
        <v>734</v>
      </c>
      <c r="F2" t="s">
        <v>395</v>
      </c>
      <c r="G2" t="s">
        <v>735</v>
      </c>
      <c r="H2" t="s">
        <v>317</v>
      </c>
      <c r="I2" t="s">
        <v>722</v>
      </c>
      <c r="J2" t="s">
        <v>736</v>
      </c>
      <c r="K2" t="s">
        <v>1045</v>
      </c>
      <c r="L2" t="s">
        <v>320</v>
      </c>
      <c r="M2">
        <v>28469</v>
      </c>
      <c r="N2" t="s">
        <v>737</v>
      </c>
      <c r="O2" t="s">
        <v>322</v>
      </c>
      <c r="P2" t="s">
        <v>738</v>
      </c>
      <c r="Q2">
        <v>50384</v>
      </c>
      <c r="R2" t="s">
        <v>739</v>
      </c>
      <c r="S2" t="s">
        <v>740</v>
      </c>
      <c r="W2" t="s">
        <v>741</v>
      </c>
    </row>
    <row r="3" spans="1:25">
      <c r="A3">
        <v>2</v>
      </c>
      <c r="B3">
        <v>45962.824525462966</v>
      </c>
      <c r="C3" t="s">
        <v>313</v>
      </c>
      <c r="D3" t="s">
        <v>742</v>
      </c>
      <c r="E3" t="s">
        <v>315</v>
      </c>
      <c r="F3" t="s">
        <v>335</v>
      </c>
      <c r="G3" t="s">
        <v>743</v>
      </c>
      <c r="H3" t="s">
        <v>317</v>
      </c>
      <c r="I3" t="s">
        <v>336</v>
      </c>
      <c r="J3" t="s">
        <v>564</v>
      </c>
      <c r="K3" t="s">
        <v>1046</v>
      </c>
      <c r="L3" t="s">
        <v>320</v>
      </c>
      <c r="M3">
        <v>28432</v>
      </c>
      <c r="N3" t="s">
        <v>744</v>
      </c>
      <c r="O3" t="s">
        <v>322</v>
      </c>
      <c r="P3" t="s">
        <v>745</v>
      </c>
      <c r="Q3">
        <v>50347</v>
      </c>
      <c r="R3" t="s">
        <v>746</v>
      </c>
      <c r="S3" t="s">
        <v>747</v>
      </c>
      <c r="W3" t="s">
        <v>748</v>
      </c>
    </row>
    <row r="4" spans="1:25">
      <c r="A4">
        <v>3</v>
      </c>
      <c r="B4">
        <v>45969.643051215273</v>
      </c>
      <c r="C4" t="s">
        <v>313</v>
      </c>
      <c r="D4" t="s">
        <v>42</v>
      </c>
      <c r="E4" t="s">
        <v>315</v>
      </c>
      <c r="F4" t="s">
        <v>383</v>
      </c>
      <c r="G4" t="s">
        <v>749</v>
      </c>
      <c r="H4" t="s">
        <v>317</v>
      </c>
      <c r="I4" t="s">
        <v>750</v>
      </c>
      <c r="J4" t="s">
        <v>751</v>
      </c>
      <c r="K4" t="s">
        <v>1047</v>
      </c>
      <c r="L4" t="s">
        <v>320</v>
      </c>
      <c r="M4">
        <v>28868</v>
      </c>
      <c r="N4" t="s">
        <v>752</v>
      </c>
      <c r="O4" t="s">
        <v>322</v>
      </c>
      <c r="P4" t="s">
        <v>753</v>
      </c>
      <c r="Q4">
        <v>50998</v>
      </c>
      <c r="R4" t="s">
        <v>754</v>
      </c>
      <c r="S4" t="s">
        <v>755</v>
      </c>
      <c r="W4" t="s">
        <v>741</v>
      </c>
      <c r="X4" t="s">
        <v>749</v>
      </c>
    </row>
    <row r="5" spans="1:25">
      <c r="A5">
        <v>4</v>
      </c>
      <c r="B5">
        <v>45963.812097615737</v>
      </c>
      <c r="C5" t="s">
        <v>313</v>
      </c>
      <c r="D5" t="s">
        <v>756</v>
      </c>
      <c r="E5" t="s">
        <v>654</v>
      </c>
      <c r="F5" t="s">
        <v>335</v>
      </c>
      <c r="G5" t="s">
        <v>757</v>
      </c>
      <c r="H5" t="s">
        <v>317</v>
      </c>
      <c r="I5" t="s">
        <v>758</v>
      </c>
      <c r="J5" t="s">
        <v>759</v>
      </c>
      <c r="K5" t="s">
        <v>1048</v>
      </c>
      <c r="L5" t="s">
        <v>320</v>
      </c>
      <c r="M5">
        <v>33812</v>
      </c>
      <c r="N5" t="s">
        <v>760</v>
      </c>
      <c r="O5" t="s">
        <v>322</v>
      </c>
      <c r="P5" t="s">
        <v>761</v>
      </c>
      <c r="Q5">
        <v>48422</v>
      </c>
      <c r="R5" t="s">
        <v>762</v>
      </c>
      <c r="S5" t="s">
        <v>763</v>
      </c>
      <c r="W5" t="s">
        <v>764</v>
      </c>
    </row>
    <row r="6" spans="1:25">
      <c r="A6">
        <v>5</v>
      </c>
      <c r="B6">
        <v>45966.602410671301</v>
      </c>
      <c r="C6" t="s">
        <v>313</v>
      </c>
      <c r="D6" t="s">
        <v>35</v>
      </c>
      <c r="E6" t="s">
        <v>315</v>
      </c>
      <c r="F6" t="s">
        <v>335</v>
      </c>
      <c r="G6" t="s">
        <v>765</v>
      </c>
      <c r="H6" t="s">
        <v>317</v>
      </c>
      <c r="I6" t="s">
        <v>766</v>
      </c>
      <c r="J6" t="s">
        <v>767</v>
      </c>
      <c r="K6" t="s">
        <v>1049</v>
      </c>
      <c r="L6" t="s">
        <v>320</v>
      </c>
      <c r="M6">
        <v>28902</v>
      </c>
      <c r="N6" t="s">
        <v>768</v>
      </c>
      <c r="O6" t="s">
        <v>322</v>
      </c>
      <c r="P6" t="s">
        <v>769</v>
      </c>
      <c r="Q6">
        <v>50817</v>
      </c>
      <c r="R6" t="s">
        <v>770</v>
      </c>
      <c r="S6" t="s">
        <v>771</v>
      </c>
      <c r="W6" t="s">
        <v>741</v>
      </c>
    </row>
    <row r="7" spans="1:25">
      <c r="A7">
        <v>6</v>
      </c>
      <c r="B7">
        <v>45963.599689143521</v>
      </c>
      <c r="C7" t="s">
        <v>313</v>
      </c>
      <c r="D7" t="s">
        <v>772</v>
      </c>
      <c r="E7" t="s">
        <v>654</v>
      </c>
      <c r="F7" t="s">
        <v>383</v>
      </c>
      <c r="G7" t="s">
        <v>773</v>
      </c>
      <c r="H7" t="s">
        <v>317</v>
      </c>
      <c r="I7" t="s">
        <v>774</v>
      </c>
      <c r="J7" t="s">
        <v>775</v>
      </c>
      <c r="K7" t="s">
        <v>1050</v>
      </c>
      <c r="L7" t="s">
        <v>320</v>
      </c>
      <c r="M7">
        <v>34113</v>
      </c>
      <c r="N7" t="s">
        <v>776</v>
      </c>
      <c r="O7" t="s">
        <v>322</v>
      </c>
      <c r="P7" t="s">
        <v>777</v>
      </c>
      <c r="Q7">
        <v>48723</v>
      </c>
      <c r="R7" t="s">
        <v>778</v>
      </c>
      <c r="S7" t="s">
        <v>779</v>
      </c>
      <c r="W7" t="s">
        <v>780</v>
      </c>
    </row>
    <row r="8" spans="1:25">
      <c r="A8">
        <v>7</v>
      </c>
      <c r="B8">
        <v>45963.403275729172</v>
      </c>
      <c r="C8" t="s">
        <v>313</v>
      </c>
      <c r="D8" t="s">
        <v>179</v>
      </c>
      <c r="E8" t="s">
        <v>315</v>
      </c>
      <c r="F8" t="s">
        <v>383</v>
      </c>
      <c r="G8" t="s">
        <v>781</v>
      </c>
      <c r="H8" t="s">
        <v>349</v>
      </c>
      <c r="I8" t="s">
        <v>360</v>
      </c>
      <c r="J8" t="s">
        <v>782</v>
      </c>
      <c r="K8" t="s">
        <v>1051</v>
      </c>
      <c r="L8" t="s">
        <v>352</v>
      </c>
      <c r="M8">
        <v>29168</v>
      </c>
      <c r="N8" t="s">
        <v>783</v>
      </c>
      <c r="O8" t="s">
        <v>322</v>
      </c>
      <c r="P8" t="s">
        <v>784</v>
      </c>
      <c r="Q8">
        <v>51083</v>
      </c>
      <c r="R8" t="s">
        <v>785</v>
      </c>
      <c r="S8" t="s">
        <v>786</v>
      </c>
      <c r="W8" t="s">
        <v>741</v>
      </c>
    </row>
    <row r="9" spans="1:25">
      <c r="A9">
        <v>8</v>
      </c>
      <c r="B9">
        <v>45963.70853131944</v>
      </c>
      <c r="C9" t="s">
        <v>313</v>
      </c>
      <c r="D9" t="s">
        <v>274</v>
      </c>
      <c r="E9" t="s">
        <v>377</v>
      </c>
      <c r="F9">
        <v>24</v>
      </c>
      <c r="G9" t="s">
        <v>787</v>
      </c>
      <c r="H9" t="s">
        <v>317</v>
      </c>
      <c r="I9" t="s">
        <v>360</v>
      </c>
      <c r="J9" t="s">
        <v>788</v>
      </c>
      <c r="K9" t="s">
        <v>1052</v>
      </c>
      <c r="L9" t="s">
        <v>320</v>
      </c>
      <c r="M9">
        <v>29205</v>
      </c>
      <c r="N9" t="s">
        <v>789</v>
      </c>
      <c r="O9" t="s">
        <v>322</v>
      </c>
      <c r="P9" t="s">
        <v>790</v>
      </c>
      <c r="Q9">
        <v>51120</v>
      </c>
      <c r="R9" t="s">
        <v>791</v>
      </c>
      <c r="S9" t="s">
        <v>792</v>
      </c>
      <c r="W9" t="s">
        <v>764</v>
      </c>
    </row>
    <row r="10" spans="1:25">
      <c r="A10">
        <v>9</v>
      </c>
      <c r="B10">
        <v>45963.859347581019</v>
      </c>
      <c r="C10" t="s">
        <v>313</v>
      </c>
      <c r="D10" t="s">
        <v>240</v>
      </c>
      <c r="E10" t="s">
        <v>654</v>
      </c>
      <c r="F10">
        <v>23</v>
      </c>
      <c r="G10" t="s">
        <v>793</v>
      </c>
      <c r="H10" t="s">
        <v>317</v>
      </c>
      <c r="I10" t="s">
        <v>360</v>
      </c>
      <c r="J10" t="s">
        <v>794</v>
      </c>
      <c r="K10" t="s">
        <v>1053</v>
      </c>
      <c r="L10" t="s">
        <v>320</v>
      </c>
      <c r="M10">
        <v>30779</v>
      </c>
      <c r="N10" t="s">
        <v>795</v>
      </c>
      <c r="O10" t="s">
        <v>322</v>
      </c>
      <c r="P10" t="s">
        <v>796</v>
      </c>
      <c r="Q10">
        <v>52694</v>
      </c>
      <c r="R10" t="s">
        <v>797</v>
      </c>
      <c r="S10" t="s">
        <v>798</v>
      </c>
      <c r="W10" t="s">
        <v>764</v>
      </c>
    </row>
    <row r="11" spans="1:25">
      <c r="A11">
        <v>10</v>
      </c>
      <c r="B11">
        <v>45967.680042418986</v>
      </c>
      <c r="C11" t="s">
        <v>313</v>
      </c>
      <c r="D11" t="s">
        <v>107</v>
      </c>
      <c r="E11" t="s">
        <v>327</v>
      </c>
      <c r="F11" t="s">
        <v>383</v>
      </c>
      <c r="G11" t="s">
        <v>799</v>
      </c>
      <c r="H11" t="s">
        <v>317</v>
      </c>
      <c r="I11" t="s">
        <v>360</v>
      </c>
      <c r="J11" t="s">
        <v>794</v>
      </c>
      <c r="K11" t="s">
        <v>1053</v>
      </c>
      <c r="L11" t="s">
        <v>320</v>
      </c>
      <c r="M11">
        <v>28278</v>
      </c>
      <c r="N11" t="s">
        <v>800</v>
      </c>
      <c r="O11" t="s">
        <v>322</v>
      </c>
      <c r="P11" t="s">
        <v>801</v>
      </c>
      <c r="Q11">
        <v>50193</v>
      </c>
      <c r="R11" t="s">
        <v>802</v>
      </c>
      <c r="S11" t="s">
        <v>803</v>
      </c>
      <c r="W11" t="s">
        <v>748</v>
      </c>
      <c r="X11" t="s">
        <v>804</v>
      </c>
    </row>
    <row r="12" spans="1:25">
      <c r="A12">
        <v>11</v>
      </c>
      <c r="B12">
        <v>45970.741125416665</v>
      </c>
      <c r="C12" t="s">
        <v>313</v>
      </c>
      <c r="D12" t="s">
        <v>805</v>
      </c>
      <c r="E12" t="s">
        <v>327</v>
      </c>
      <c r="F12" t="s">
        <v>335</v>
      </c>
      <c r="G12" t="s">
        <v>806</v>
      </c>
      <c r="H12" t="s">
        <v>317</v>
      </c>
      <c r="I12" t="s">
        <v>360</v>
      </c>
      <c r="J12" t="s">
        <v>751</v>
      </c>
      <c r="K12" t="s">
        <v>1054</v>
      </c>
      <c r="L12" t="s">
        <v>320</v>
      </c>
      <c r="M12">
        <v>29178</v>
      </c>
      <c r="N12" t="s">
        <v>807</v>
      </c>
      <c r="O12" t="s">
        <v>322</v>
      </c>
      <c r="P12" t="s">
        <v>808</v>
      </c>
      <c r="Q12">
        <v>51093</v>
      </c>
      <c r="R12" t="s">
        <v>809</v>
      </c>
      <c r="S12" t="s">
        <v>810</v>
      </c>
      <c r="W12" t="s">
        <v>748</v>
      </c>
      <c r="X12" t="s">
        <v>806</v>
      </c>
    </row>
    <row r="13" spans="1:25">
      <c r="A13">
        <v>12</v>
      </c>
      <c r="B13">
        <v>45963.531293993059</v>
      </c>
      <c r="C13" t="s">
        <v>313</v>
      </c>
      <c r="D13" t="s">
        <v>88</v>
      </c>
      <c r="E13" t="s">
        <v>654</v>
      </c>
      <c r="F13" t="s">
        <v>811</v>
      </c>
      <c r="G13" t="s">
        <v>812</v>
      </c>
      <c r="H13" t="s">
        <v>317</v>
      </c>
      <c r="I13" t="s">
        <v>813</v>
      </c>
      <c r="J13" t="s">
        <v>814</v>
      </c>
      <c r="K13" t="s">
        <v>1055</v>
      </c>
      <c r="L13" t="s">
        <v>320</v>
      </c>
      <c r="M13">
        <v>30954</v>
      </c>
      <c r="N13" t="s">
        <v>815</v>
      </c>
      <c r="O13" t="s">
        <v>322</v>
      </c>
      <c r="P13" t="s">
        <v>816</v>
      </c>
      <c r="Q13">
        <v>52869</v>
      </c>
      <c r="R13" t="s">
        <v>817</v>
      </c>
      <c r="S13" t="s">
        <v>818</v>
      </c>
      <c r="W13" t="s">
        <v>741</v>
      </c>
    </row>
    <row r="14" spans="1:25">
      <c r="A14">
        <v>13</v>
      </c>
      <c r="B14">
        <v>45962.814874780088</v>
      </c>
      <c r="C14" t="s">
        <v>313</v>
      </c>
      <c r="D14" t="s">
        <v>110</v>
      </c>
      <c r="E14" t="s">
        <v>358</v>
      </c>
      <c r="F14" t="s">
        <v>819</v>
      </c>
      <c r="G14" t="s">
        <v>820</v>
      </c>
      <c r="H14" t="s">
        <v>317</v>
      </c>
      <c r="I14" t="s">
        <v>419</v>
      </c>
      <c r="J14" t="s">
        <v>821</v>
      </c>
      <c r="K14" t="s">
        <v>1056</v>
      </c>
      <c r="L14" t="s">
        <v>320</v>
      </c>
      <c r="M14">
        <v>30263</v>
      </c>
      <c r="N14" t="s">
        <v>822</v>
      </c>
      <c r="O14" t="s">
        <v>322</v>
      </c>
      <c r="P14" t="s">
        <v>823</v>
      </c>
      <c r="Q14">
        <v>52178</v>
      </c>
      <c r="R14" t="s">
        <v>824</v>
      </c>
      <c r="S14" t="s">
        <v>825</v>
      </c>
      <c r="W14" t="s">
        <v>826</v>
      </c>
    </row>
    <row r="15" spans="1:25">
      <c r="A15">
        <v>14</v>
      </c>
      <c r="B15">
        <v>45962.850448622688</v>
      </c>
      <c r="C15" t="s">
        <v>313</v>
      </c>
      <c r="D15" t="s">
        <v>165</v>
      </c>
      <c r="E15" t="s">
        <v>394</v>
      </c>
      <c r="F15">
        <v>20</v>
      </c>
      <c r="G15" t="s">
        <v>827</v>
      </c>
      <c r="H15" t="s">
        <v>317</v>
      </c>
      <c r="I15" t="s">
        <v>419</v>
      </c>
      <c r="J15" t="s">
        <v>828</v>
      </c>
      <c r="K15" t="s">
        <v>1057</v>
      </c>
      <c r="L15" t="s">
        <v>320</v>
      </c>
      <c r="M15">
        <v>29106</v>
      </c>
      <c r="N15" t="s">
        <v>829</v>
      </c>
      <c r="O15" t="s">
        <v>322</v>
      </c>
      <c r="P15" t="s">
        <v>830</v>
      </c>
      <c r="Q15">
        <v>51021</v>
      </c>
      <c r="R15" t="s">
        <v>831</v>
      </c>
      <c r="S15" t="s">
        <v>832</v>
      </c>
      <c r="W15" t="s">
        <v>741</v>
      </c>
    </row>
    <row r="16" spans="1:25">
      <c r="A16">
        <v>15</v>
      </c>
      <c r="B16">
        <v>45963.327240972227</v>
      </c>
      <c r="C16" t="s">
        <v>313</v>
      </c>
      <c r="D16" t="s">
        <v>260</v>
      </c>
      <c r="E16" t="s">
        <v>654</v>
      </c>
      <c r="F16" t="s">
        <v>833</v>
      </c>
      <c r="G16" t="s">
        <v>834</v>
      </c>
      <c r="H16" t="s">
        <v>317</v>
      </c>
      <c r="I16" t="s">
        <v>419</v>
      </c>
      <c r="J16" t="s">
        <v>835</v>
      </c>
      <c r="K16" t="s">
        <v>1058</v>
      </c>
      <c r="L16" t="s">
        <v>320</v>
      </c>
      <c r="M16">
        <v>30650</v>
      </c>
      <c r="N16" t="s">
        <v>836</v>
      </c>
      <c r="O16" t="s">
        <v>322</v>
      </c>
      <c r="P16" t="s">
        <v>837</v>
      </c>
      <c r="Q16">
        <v>52565</v>
      </c>
      <c r="R16" t="s">
        <v>838</v>
      </c>
      <c r="S16" t="s">
        <v>839</v>
      </c>
      <c r="W16" t="s">
        <v>826</v>
      </c>
    </row>
    <row r="17" spans="1:24">
      <c r="A17">
        <v>16</v>
      </c>
      <c r="B17">
        <v>45963.345155659721</v>
      </c>
      <c r="C17" t="s">
        <v>313</v>
      </c>
      <c r="D17" t="s">
        <v>125</v>
      </c>
      <c r="E17" t="s">
        <v>840</v>
      </c>
      <c r="F17" t="s">
        <v>841</v>
      </c>
      <c r="G17" t="s">
        <v>842</v>
      </c>
      <c r="H17" t="s">
        <v>349</v>
      </c>
      <c r="I17" t="s">
        <v>419</v>
      </c>
      <c r="J17" t="s">
        <v>843</v>
      </c>
      <c r="K17" t="s">
        <v>1059</v>
      </c>
      <c r="L17" t="s">
        <v>352</v>
      </c>
      <c r="M17">
        <v>31079</v>
      </c>
      <c r="N17" t="s">
        <v>844</v>
      </c>
      <c r="O17" t="s">
        <v>322</v>
      </c>
      <c r="P17" t="s">
        <v>845</v>
      </c>
      <c r="Q17">
        <v>52994</v>
      </c>
      <c r="R17" t="s">
        <v>846</v>
      </c>
      <c r="S17" t="s">
        <v>847</v>
      </c>
      <c r="W17" t="s">
        <v>764</v>
      </c>
    </row>
    <row r="18" spans="1:24">
      <c r="A18">
        <v>17</v>
      </c>
      <c r="B18">
        <v>45963.349435787037</v>
      </c>
      <c r="C18" t="s">
        <v>313</v>
      </c>
      <c r="D18" t="s">
        <v>848</v>
      </c>
      <c r="E18" t="s">
        <v>654</v>
      </c>
      <c r="F18">
        <v>21</v>
      </c>
      <c r="G18" t="s">
        <v>849</v>
      </c>
      <c r="H18" t="s">
        <v>317</v>
      </c>
      <c r="I18" t="s">
        <v>419</v>
      </c>
      <c r="J18" t="s">
        <v>850</v>
      </c>
      <c r="K18" t="s">
        <v>1060</v>
      </c>
      <c r="L18" t="s">
        <v>320</v>
      </c>
      <c r="M18">
        <v>29532</v>
      </c>
      <c r="N18" t="s">
        <v>851</v>
      </c>
      <c r="O18" t="s">
        <v>322</v>
      </c>
      <c r="P18" t="s">
        <v>852</v>
      </c>
      <c r="Q18">
        <v>51447</v>
      </c>
      <c r="R18" t="s">
        <v>853</v>
      </c>
      <c r="S18" t="s">
        <v>854</v>
      </c>
      <c r="W18" t="s">
        <v>741</v>
      </c>
    </row>
    <row r="19" spans="1:24">
      <c r="A19">
        <v>18</v>
      </c>
      <c r="B19">
        <v>45963.412487962967</v>
      </c>
      <c r="C19" t="s">
        <v>313</v>
      </c>
      <c r="D19" t="s">
        <v>207</v>
      </c>
      <c r="E19" t="s">
        <v>377</v>
      </c>
      <c r="F19">
        <v>22</v>
      </c>
      <c r="G19" t="s">
        <v>855</v>
      </c>
      <c r="H19" t="s">
        <v>317</v>
      </c>
      <c r="I19" t="s">
        <v>419</v>
      </c>
      <c r="J19" t="s">
        <v>856</v>
      </c>
      <c r="K19" t="s">
        <v>1061</v>
      </c>
      <c r="L19" t="s">
        <v>320</v>
      </c>
      <c r="M19">
        <v>28404</v>
      </c>
      <c r="N19" t="s">
        <v>857</v>
      </c>
      <c r="O19" t="s">
        <v>322</v>
      </c>
      <c r="P19" t="s">
        <v>858</v>
      </c>
      <c r="Q19">
        <v>50319</v>
      </c>
      <c r="R19" t="s">
        <v>859</v>
      </c>
      <c r="S19" t="s">
        <v>860</v>
      </c>
      <c r="W19" t="s">
        <v>741</v>
      </c>
    </row>
    <row r="20" spans="1:24">
      <c r="A20">
        <v>19</v>
      </c>
      <c r="B20">
        <v>45963.438785902777</v>
      </c>
      <c r="C20" t="s">
        <v>313</v>
      </c>
      <c r="D20" t="s">
        <v>104</v>
      </c>
      <c r="E20" t="s">
        <v>394</v>
      </c>
      <c r="F20" t="s">
        <v>335</v>
      </c>
      <c r="G20" t="s">
        <v>861</v>
      </c>
      <c r="H20" t="s">
        <v>317</v>
      </c>
      <c r="I20" t="s">
        <v>419</v>
      </c>
      <c r="J20" t="s">
        <v>862</v>
      </c>
      <c r="K20" t="s">
        <v>1062</v>
      </c>
      <c r="L20" t="s">
        <v>320</v>
      </c>
      <c r="M20">
        <v>33967</v>
      </c>
      <c r="N20" t="s">
        <v>863</v>
      </c>
      <c r="O20" t="s">
        <v>322</v>
      </c>
      <c r="P20" t="s">
        <v>864</v>
      </c>
      <c r="Q20">
        <v>48577</v>
      </c>
      <c r="R20" t="s">
        <v>865</v>
      </c>
      <c r="S20" t="s">
        <v>866</v>
      </c>
      <c r="W20" t="s">
        <v>764</v>
      </c>
    </row>
    <row r="21" spans="1:24">
      <c r="A21">
        <v>20</v>
      </c>
      <c r="B21">
        <v>45963.81134753472</v>
      </c>
      <c r="C21" t="s">
        <v>313</v>
      </c>
      <c r="D21" t="s">
        <v>867</v>
      </c>
      <c r="E21" t="s">
        <v>394</v>
      </c>
      <c r="F21" t="s">
        <v>811</v>
      </c>
      <c r="G21" t="s">
        <v>470</v>
      </c>
      <c r="H21" t="s">
        <v>317</v>
      </c>
      <c r="I21" t="s">
        <v>419</v>
      </c>
      <c r="J21" t="s">
        <v>468</v>
      </c>
      <c r="K21" t="s">
        <v>663</v>
      </c>
      <c r="L21" t="s">
        <v>320</v>
      </c>
      <c r="M21">
        <v>27918</v>
      </c>
      <c r="N21" t="s">
        <v>469</v>
      </c>
      <c r="O21" t="s">
        <v>322</v>
      </c>
      <c r="P21" t="s">
        <v>471</v>
      </c>
      <c r="Q21">
        <v>49833</v>
      </c>
      <c r="R21" t="s">
        <v>868</v>
      </c>
      <c r="S21" t="s">
        <v>869</v>
      </c>
      <c r="W21" t="s">
        <v>748</v>
      </c>
    </row>
    <row r="22" spans="1:24">
      <c r="A22">
        <v>21</v>
      </c>
      <c r="B22">
        <v>45966.606111157409</v>
      </c>
      <c r="C22" t="s">
        <v>313</v>
      </c>
      <c r="D22" t="s">
        <v>235</v>
      </c>
      <c r="E22" t="s">
        <v>654</v>
      </c>
      <c r="F22" t="s">
        <v>328</v>
      </c>
      <c r="G22" t="s">
        <v>870</v>
      </c>
      <c r="H22" t="s">
        <v>317</v>
      </c>
      <c r="I22" t="s">
        <v>419</v>
      </c>
      <c r="J22" t="s">
        <v>564</v>
      </c>
      <c r="K22" t="s">
        <v>1063</v>
      </c>
      <c r="L22" t="s">
        <v>320</v>
      </c>
      <c r="M22">
        <v>33317</v>
      </c>
      <c r="N22" t="s">
        <v>871</v>
      </c>
      <c r="O22" t="s">
        <v>322</v>
      </c>
      <c r="P22" t="s">
        <v>872</v>
      </c>
      <c r="Q22">
        <v>47927</v>
      </c>
      <c r="R22" t="s">
        <v>873</v>
      </c>
      <c r="S22" t="s">
        <v>874</v>
      </c>
      <c r="W22" t="s">
        <v>780</v>
      </c>
    </row>
    <row r="23" spans="1:24">
      <c r="A23">
        <v>22</v>
      </c>
      <c r="B23">
        <v>45966.716872060184</v>
      </c>
      <c r="C23" t="s">
        <v>313</v>
      </c>
      <c r="D23" t="s">
        <v>43</v>
      </c>
      <c r="E23" t="s">
        <v>315</v>
      </c>
      <c r="F23" t="s">
        <v>383</v>
      </c>
      <c r="G23" t="s">
        <v>875</v>
      </c>
      <c r="H23" t="s">
        <v>317</v>
      </c>
      <c r="I23" t="s">
        <v>419</v>
      </c>
      <c r="J23" t="s">
        <v>876</v>
      </c>
      <c r="K23" t="s">
        <v>1064</v>
      </c>
      <c r="L23" t="s">
        <v>320</v>
      </c>
      <c r="M23">
        <v>28570</v>
      </c>
      <c r="N23" t="s">
        <v>877</v>
      </c>
      <c r="O23" t="s">
        <v>322</v>
      </c>
      <c r="P23" t="s">
        <v>878</v>
      </c>
      <c r="Q23">
        <v>28570</v>
      </c>
      <c r="R23" t="s">
        <v>879</v>
      </c>
      <c r="S23" t="s">
        <v>880</v>
      </c>
      <c r="W23" t="s">
        <v>780</v>
      </c>
    </row>
    <row r="24" spans="1:24">
      <c r="A24">
        <v>23</v>
      </c>
      <c r="B24">
        <v>45966.903541782405</v>
      </c>
      <c r="C24" t="s">
        <v>313</v>
      </c>
      <c r="D24" t="s">
        <v>219</v>
      </c>
      <c r="E24" t="s">
        <v>377</v>
      </c>
      <c r="F24">
        <v>22</v>
      </c>
      <c r="G24" t="s">
        <v>881</v>
      </c>
      <c r="H24" t="s">
        <v>317</v>
      </c>
      <c r="I24" t="s">
        <v>419</v>
      </c>
      <c r="J24" t="s">
        <v>564</v>
      </c>
      <c r="K24" t="s">
        <v>1063</v>
      </c>
      <c r="L24" t="s">
        <v>320</v>
      </c>
      <c r="M24">
        <v>30142</v>
      </c>
      <c r="N24" t="s">
        <v>882</v>
      </c>
      <c r="O24" t="s">
        <v>322</v>
      </c>
      <c r="P24" t="s">
        <v>883</v>
      </c>
      <c r="Q24">
        <v>52057</v>
      </c>
      <c r="R24" t="s">
        <v>884</v>
      </c>
      <c r="S24" t="s">
        <v>885</v>
      </c>
      <c r="W24" t="s">
        <v>764</v>
      </c>
    </row>
    <row r="25" spans="1:24">
      <c r="A25">
        <v>24</v>
      </c>
      <c r="B25">
        <v>45968.402751631947</v>
      </c>
      <c r="C25" t="s">
        <v>313</v>
      </c>
      <c r="D25" t="s">
        <v>48</v>
      </c>
      <c r="E25" t="s">
        <v>315</v>
      </c>
      <c r="F25" t="s">
        <v>886</v>
      </c>
      <c r="G25" t="s">
        <v>887</v>
      </c>
      <c r="H25" t="s">
        <v>317</v>
      </c>
      <c r="I25" t="s">
        <v>419</v>
      </c>
      <c r="J25" t="s">
        <v>759</v>
      </c>
      <c r="K25" t="s">
        <v>1065</v>
      </c>
      <c r="L25" t="s">
        <v>320</v>
      </c>
      <c r="M25">
        <v>34429</v>
      </c>
      <c r="N25" t="s">
        <v>888</v>
      </c>
      <c r="O25" t="s">
        <v>322</v>
      </c>
      <c r="P25" t="s">
        <v>889</v>
      </c>
      <c r="Q25">
        <v>49039</v>
      </c>
      <c r="R25" t="s">
        <v>890</v>
      </c>
      <c r="S25" t="s">
        <v>891</v>
      </c>
      <c r="W25" t="s">
        <v>826</v>
      </c>
      <c r="X25" t="s">
        <v>887</v>
      </c>
    </row>
    <row r="26" spans="1:24">
      <c r="A26">
        <v>25</v>
      </c>
      <c r="B26">
        <v>45968.726779085649</v>
      </c>
      <c r="C26" t="s">
        <v>313</v>
      </c>
      <c r="D26" t="s">
        <v>892</v>
      </c>
      <c r="E26" t="s">
        <v>327</v>
      </c>
      <c r="F26" t="s">
        <v>531</v>
      </c>
      <c r="G26" t="s">
        <v>893</v>
      </c>
      <c r="H26" t="s">
        <v>317</v>
      </c>
      <c r="I26" t="s">
        <v>419</v>
      </c>
      <c r="J26" t="s">
        <v>491</v>
      </c>
      <c r="K26" t="s">
        <v>1066</v>
      </c>
      <c r="L26" t="s">
        <v>320</v>
      </c>
      <c r="M26">
        <v>30138</v>
      </c>
      <c r="N26" t="s">
        <v>894</v>
      </c>
      <c r="O26" t="s">
        <v>322</v>
      </c>
      <c r="P26" t="s">
        <v>895</v>
      </c>
      <c r="Q26">
        <v>52053</v>
      </c>
      <c r="R26" t="s">
        <v>896</v>
      </c>
      <c r="S26" t="s">
        <v>897</v>
      </c>
      <c r="W26" t="s">
        <v>826</v>
      </c>
      <c r="X26" t="s">
        <v>893</v>
      </c>
    </row>
    <row r="27" spans="1:24">
      <c r="A27">
        <v>26</v>
      </c>
      <c r="B27">
        <v>45963.442804548613</v>
      </c>
      <c r="C27" t="s">
        <v>313</v>
      </c>
      <c r="D27" t="s">
        <v>34</v>
      </c>
      <c r="E27" t="s">
        <v>315</v>
      </c>
      <c r="F27">
        <v>19</v>
      </c>
      <c r="G27" t="s">
        <v>898</v>
      </c>
      <c r="H27" t="s">
        <v>317</v>
      </c>
      <c r="I27" t="s">
        <v>899</v>
      </c>
      <c r="J27" t="s">
        <v>900</v>
      </c>
      <c r="K27" t="s">
        <v>1067</v>
      </c>
      <c r="L27" t="s">
        <v>320</v>
      </c>
      <c r="M27">
        <v>30037</v>
      </c>
      <c r="N27" t="s">
        <v>901</v>
      </c>
      <c r="O27" t="s">
        <v>322</v>
      </c>
      <c r="P27" t="s">
        <v>902</v>
      </c>
      <c r="Q27">
        <v>15427</v>
      </c>
      <c r="R27" t="s">
        <v>903</v>
      </c>
      <c r="S27" t="s">
        <v>904</v>
      </c>
      <c r="W27" t="s">
        <v>748</v>
      </c>
    </row>
    <row r="28" spans="1:24">
      <c r="A28">
        <v>27</v>
      </c>
      <c r="B28">
        <v>45963.7414244213</v>
      </c>
      <c r="C28" t="s">
        <v>313</v>
      </c>
      <c r="D28" t="s">
        <v>905</v>
      </c>
      <c r="E28" t="s">
        <v>315</v>
      </c>
      <c r="F28" t="s">
        <v>359</v>
      </c>
      <c r="G28" t="s">
        <v>906</v>
      </c>
      <c r="H28" t="s">
        <v>317</v>
      </c>
      <c r="I28" t="s">
        <v>899</v>
      </c>
      <c r="J28" t="s">
        <v>907</v>
      </c>
      <c r="K28" t="s">
        <v>1068</v>
      </c>
      <c r="L28" t="s">
        <v>320</v>
      </c>
      <c r="M28">
        <v>29916</v>
      </c>
      <c r="N28" t="s">
        <v>908</v>
      </c>
      <c r="O28" t="s">
        <v>322</v>
      </c>
      <c r="P28" t="s">
        <v>909</v>
      </c>
      <c r="Q28">
        <v>51831</v>
      </c>
      <c r="R28" t="s">
        <v>910</v>
      </c>
      <c r="S28" t="s">
        <v>911</v>
      </c>
      <c r="W28" t="s">
        <v>748</v>
      </c>
    </row>
    <row r="29" spans="1:24">
      <c r="A29">
        <v>28</v>
      </c>
      <c r="B29">
        <v>45964.434270752317</v>
      </c>
      <c r="C29" t="s">
        <v>313</v>
      </c>
      <c r="D29" t="s">
        <v>235</v>
      </c>
      <c r="E29" t="s">
        <v>654</v>
      </c>
      <c r="F29" t="s">
        <v>328</v>
      </c>
      <c r="G29" t="s">
        <v>870</v>
      </c>
      <c r="H29" t="s">
        <v>317</v>
      </c>
      <c r="I29" t="s">
        <v>899</v>
      </c>
      <c r="J29" t="s">
        <v>564</v>
      </c>
      <c r="K29" t="s">
        <v>1069</v>
      </c>
      <c r="L29" t="s">
        <v>320</v>
      </c>
      <c r="M29">
        <v>33317</v>
      </c>
      <c r="N29" t="s">
        <v>912</v>
      </c>
      <c r="O29" t="s">
        <v>322</v>
      </c>
      <c r="P29" t="s">
        <v>872</v>
      </c>
      <c r="Q29">
        <v>47909</v>
      </c>
      <c r="R29" t="s">
        <v>913</v>
      </c>
      <c r="S29" t="s">
        <v>914</v>
      </c>
      <c r="W29" t="s">
        <v>780</v>
      </c>
    </row>
    <row r="30" spans="1:24">
      <c r="A30">
        <v>29</v>
      </c>
      <c r="B30">
        <v>45966.870974062505</v>
      </c>
      <c r="C30" t="s">
        <v>313</v>
      </c>
      <c r="D30" t="s">
        <v>120</v>
      </c>
      <c r="E30" t="s">
        <v>654</v>
      </c>
      <c r="F30" t="s">
        <v>359</v>
      </c>
      <c r="G30" t="s">
        <v>915</v>
      </c>
      <c r="H30" t="s">
        <v>317</v>
      </c>
      <c r="I30" t="s">
        <v>899</v>
      </c>
      <c r="J30" t="s">
        <v>916</v>
      </c>
      <c r="K30" t="s">
        <v>1070</v>
      </c>
      <c r="L30" t="s">
        <v>320</v>
      </c>
      <c r="M30">
        <v>30977</v>
      </c>
      <c r="N30" t="s">
        <v>917</v>
      </c>
      <c r="O30" t="s">
        <v>322</v>
      </c>
      <c r="P30" t="s">
        <v>918</v>
      </c>
      <c r="Q30">
        <v>52892</v>
      </c>
      <c r="R30" t="s">
        <v>919</v>
      </c>
      <c r="S30" t="s">
        <v>920</v>
      </c>
      <c r="W30" t="s">
        <v>764</v>
      </c>
    </row>
    <row r="31" spans="1:24">
      <c r="A31">
        <v>30</v>
      </c>
      <c r="B31">
        <v>45970.539605428239</v>
      </c>
      <c r="C31" t="s">
        <v>313</v>
      </c>
      <c r="D31" t="s">
        <v>151</v>
      </c>
      <c r="E31" t="s">
        <v>327</v>
      </c>
      <c r="F31" t="s">
        <v>328</v>
      </c>
      <c r="G31" t="s">
        <v>921</v>
      </c>
      <c r="H31" t="s">
        <v>317</v>
      </c>
      <c r="I31" t="s">
        <v>899</v>
      </c>
      <c r="J31" t="s">
        <v>922</v>
      </c>
      <c r="K31" t="s">
        <v>1071</v>
      </c>
      <c r="L31" t="s">
        <v>320</v>
      </c>
      <c r="M31">
        <v>34826</v>
      </c>
      <c r="N31" t="s">
        <v>923</v>
      </c>
      <c r="O31" t="s">
        <v>322</v>
      </c>
      <c r="P31" t="s">
        <v>924</v>
      </c>
      <c r="Q31">
        <v>49436</v>
      </c>
      <c r="R31" t="s">
        <v>925</v>
      </c>
      <c r="S31" t="s">
        <v>926</v>
      </c>
      <c r="W31" t="s">
        <v>764</v>
      </c>
      <c r="X31" t="s">
        <v>921</v>
      </c>
    </row>
    <row r="32" spans="1:24">
      <c r="A32">
        <v>31</v>
      </c>
      <c r="B32">
        <v>45963.816456296292</v>
      </c>
      <c r="C32" t="s">
        <v>927</v>
      </c>
      <c r="D32" t="s">
        <v>196</v>
      </c>
      <c r="E32" t="s">
        <v>654</v>
      </c>
      <c r="F32">
        <v>21</v>
      </c>
      <c r="G32" t="s">
        <v>928</v>
      </c>
      <c r="H32" t="s">
        <v>317</v>
      </c>
      <c r="I32" t="s">
        <v>557</v>
      </c>
      <c r="J32" t="s">
        <v>929</v>
      </c>
      <c r="K32" t="s">
        <v>1072</v>
      </c>
      <c r="L32" t="s">
        <v>320</v>
      </c>
      <c r="M32">
        <v>35239</v>
      </c>
      <c r="N32" t="s">
        <v>930</v>
      </c>
      <c r="O32" t="s">
        <v>322</v>
      </c>
      <c r="P32" t="s">
        <v>931</v>
      </c>
      <c r="Q32">
        <v>49849</v>
      </c>
      <c r="R32" t="s">
        <v>932</v>
      </c>
      <c r="S32" t="s">
        <v>933</v>
      </c>
      <c r="W32" t="s">
        <v>741</v>
      </c>
    </row>
    <row r="33" spans="1:24">
      <c r="A33">
        <v>32</v>
      </c>
      <c r="B33">
        <v>45963.844764004629</v>
      </c>
      <c r="C33" t="s">
        <v>313</v>
      </c>
      <c r="D33" t="s">
        <v>563</v>
      </c>
      <c r="E33" t="s">
        <v>315</v>
      </c>
      <c r="F33" t="s">
        <v>335</v>
      </c>
      <c r="G33" t="s">
        <v>566</v>
      </c>
      <c r="H33" t="s">
        <v>317</v>
      </c>
      <c r="I33" t="s">
        <v>557</v>
      </c>
      <c r="J33" t="s">
        <v>666</v>
      </c>
      <c r="K33" t="s">
        <v>1073</v>
      </c>
      <c r="L33" t="s">
        <v>320</v>
      </c>
      <c r="M33">
        <v>27412</v>
      </c>
      <c r="N33" t="s">
        <v>565</v>
      </c>
      <c r="O33" t="s">
        <v>322</v>
      </c>
      <c r="P33" t="s">
        <v>934</v>
      </c>
      <c r="Q33">
        <v>49327</v>
      </c>
      <c r="R33" t="s">
        <v>935</v>
      </c>
      <c r="S33" t="s">
        <v>936</v>
      </c>
      <c r="W33" t="s">
        <v>748</v>
      </c>
    </row>
    <row r="34" spans="1:24">
      <c r="A34">
        <v>33</v>
      </c>
      <c r="B34">
        <v>45968.586134178244</v>
      </c>
      <c r="C34" t="s">
        <v>313</v>
      </c>
      <c r="D34" t="s">
        <v>107</v>
      </c>
      <c r="E34" t="s">
        <v>327</v>
      </c>
      <c r="F34" t="s">
        <v>359</v>
      </c>
      <c r="G34" t="s">
        <v>937</v>
      </c>
      <c r="H34" t="s">
        <v>317</v>
      </c>
      <c r="I34" t="s">
        <v>557</v>
      </c>
      <c r="J34" t="s">
        <v>938</v>
      </c>
      <c r="K34" t="s">
        <v>1074</v>
      </c>
      <c r="L34" t="s">
        <v>320</v>
      </c>
      <c r="M34">
        <v>27824</v>
      </c>
      <c r="N34" t="s">
        <v>939</v>
      </c>
      <c r="O34" t="s">
        <v>322</v>
      </c>
      <c r="P34" t="s">
        <v>940</v>
      </c>
      <c r="Q34">
        <v>49739</v>
      </c>
      <c r="R34" t="s">
        <v>941</v>
      </c>
      <c r="S34" t="s">
        <v>942</v>
      </c>
      <c r="W34" t="s">
        <v>748</v>
      </c>
      <c r="X34" t="s">
        <v>937</v>
      </c>
    </row>
    <row r="35" spans="1:24">
      <c r="A35">
        <v>34</v>
      </c>
      <c r="B35">
        <v>45963.304600023148</v>
      </c>
      <c r="C35" t="s">
        <v>313</v>
      </c>
      <c r="D35" t="s">
        <v>943</v>
      </c>
      <c r="E35" t="s">
        <v>654</v>
      </c>
      <c r="F35" t="s">
        <v>944</v>
      </c>
      <c r="G35" t="s">
        <v>945</v>
      </c>
      <c r="H35" t="s">
        <v>317</v>
      </c>
      <c r="I35" t="s">
        <v>946</v>
      </c>
      <c r="J35" t="s">
        <v>947</v>
      </c>
      <c r="K35" t="s">
        <v>1075</v>
      </c>
      <c r="L35" t="s">
        <v>320</v>
      </c>
      <c r="M35">
        <v>31355</v>
      </c>
      <c r="N35" t="s">
        <v>948</v>
      </c>
      <c r="O35" t="s">
        <v>322</v>
      </c>
      <c r="P35" t="s">
        <v>949</v>
      </c>
      <c r="Q35">
        <v>45965</v>
      </c>
      <c r="R35" t="s">
        <v>950</v>
      </c>
      <c r="S35" t="s">
        <v>951</v>
      </c>
      <c r="T35" t="s">
        <v>949</v>
      </c>
      <c r="U35">
        <v>45965</v>
      </c>
      <c r="V35" t="s">
        <v>952</v>
      </c>
      <c r="W35" t="s">
        <v>764</v>
      </c>
    </row>
    <row r="36" spans="1:24">
      <c r="A36">
        <v>35</v>
      </c>
      <c r="B36">
        <v>45966.331501504625</v>
      </c>
      <c r="C36" t="s">
        <v>313</v>
      </c>
      <c r="D36" t="s">
        <v>953</v>
      </c>
      <c r="E36" t="s">
        <v>394</v>
      </c>
      <c r="F36" t="s">
        <v>335</v>
      </c>
      <c r="G36" t="s">
        <v>954</v>
      </c>
      <c r="H36" t="s">
        <v>317</v>
      </c>
      <c r="I36" t="s">
        <v>946</v>
      </c>
      <c r="J36" t="s">
        <v>955</v>
      </c>
      <c r="K36" t="s">
        <v>1076</v>
      </c>
      <c r="L36" t="s">
        <v>320</v>
      </c>
      <c r="M36">
        <v>30200</v>
      </c>
      <c r="N36" t="s">
        <v>956</v>
      </c>
      <c r="O36" t="s">
        <v>322</v>
      </c>
      <c r="P36" t="s">
        <v>957</v>
      </c>
      <c r="Q36">
        <v>52115</v>
      </c>
      <c r="R36" t="s">
        <v>958</v>
      </c>
      <c r="S36" t="s">
        <v>959</v>
      </c>
      <c r="W36" t="s">
        <v>741</v>
      </c>
    </row>
    <row r="37" spans="1:24">
      <c r="A37">
        <v>36</v>
      </c>
      <c r="B37">
        <v>45966.916133449078</v>
      </c>
      <c r="C37" t="s">
        <v>313</v>
      </c>
      <c r="D37" t="s">
        <v>116</v>
      </c>
      <c r="E37" t="s">
        <v>654</v>
      </c>
      <c r="F37">
        <v>19</v>
      </c>
      <c r="G37" t="s">
        <v>960</v>
      </c>
      <c r="H37" t="s">
        <v>317</v>
      </c>
      <c r="I37" t="s">
        <v>583</v>
      </c>
      <c r="J37" t="s">
        <v>900</v>
      </c>
      <c r="K37" t="s">
        <v>1077</v>
      </c>
      <c r="L37" t="s">
        <v>320</v>
      </c>
      <c r="M37">
        <v>31904</v>
      </c>
      <c r="N37" t="s">
        <v>961</v>
      </c>
      <c r="O37" t="s">
        <v>322</v>
      </c>
      <c r="P37" t="s">
        <v>962</v>
      </c>
      <c r="Q37">
        <v>46514</v>
      </c>
      <c r="R37" t="s">
        <v>963</v>
      </c>
      <c r="S37" t="s">
        <v>964</v>
      </c>
      <c r="W37" t="s">
        <v>764</v>
      </c>
    </row>
    <row r="38" spans="1:24">
      <c r="A38">
        <v>37</v>
      </c>
      <c r="B38">
        <v>45963.369522708337</v>
      </c>
      <c r="C38" t="s">
        <v>313</v>
      </c>
      <c r="D38" t="s">
        <v>965</v>
      </c>
      <c r="E38" t="s">
        <v>394</v>
      </c>
      <c r="F38" t="s">
        <v>335</v>
      </c>
      <c r="G38" t="s">
        <v>966</v>
      </c>
      <c r="H38" t="s">
        <v>317</v>
      </c>
      <c r="I38" t="s">
        <v>595</v>
      </c>
      <c r="J38" t="s">
        <v>967</v>
      </c>
      <c r="K38" t="s">
        <v>1078</v>
      </c>
      <c r="L38" t="s">
        <v>320</v>
      </c>
      <c r="M38">
        <v>32264</v>
      </c>
      <c r="N38" t="s">
        <v>968</v>
      </c>
      <c r="O38" t="s">
        <v>322</v>
      </c>
      <c r="P38" t="s">
        <v>969</v>
      </c>
      <c r="Q38">
        <v>46874</v>
      </c>
      <c r="R38" t="s">
        <v>970</v>
      </c>
      <c r="S38" t="s">
        <v>971</v>
      </c>
      <c r="W38" t="s">
        <v>748</v>
      </c>
    </row>
    <row r="39" spans="1:24">
      <c r="A39">
        <v>38</v>
      </c>
      <c r="B39">
        <v>45963.712963645834</v>
      </c>
      <c r="C39" t="s">
        <v>313</v>
      </c>
      <c r="D39" t="s">
        <v>972</v>
      </c>
      <c r="E39" t="s">
        <v>315</v>
      </c>
      <c r="F39" t="s">
        <v>973</v>
      </c>
      <c r="G39" t="s">
        <v>974</v>
      </c>
      <c r="H39" t="s">
        <v>317</v>
      </c>
      <c r="I39" t="s">
        <v>595</v>
      </c>
      <c r="J39" t="s">
        <v>975</v>
      </c>
      <c r="K39" t="s">
        <v>1079</v>
      </c>
      <c r="L39" t="s">
        <v>320</v>
      </c>
      <c r="M39">
        <v>28770</v>
      </c>
      <c r="N39" t="s">
        <v>976</v>
      </c>
      <c r="O39" t="s">
        <v>322</v>
      </c>
      <c r="P39" t="s">
        <v>977</v>
      </c>
      <c r="Q39">
        <v>50685</v>
      </c>
      <c r="R39" t="s">
        <v>978</v>
      </c>
      <c r="S39" t="s">
        <v>979</v>
      </c>
      <c r="W39" t="s">
        <v>748</v>
      </c>
    </row>
    <row r="40" spans="1:24">
      <c r="A40">
        <v>39</v>
      </c>
      <c r="B40">
        <v>45967.332451840281</v>
      </c>
      <c r="C40" t="s">
        <v>313</v>
      </c>
      <c r="D40" t="s">
        <v>153</v>
      </c>
      <c r="E40" t="s">
        <v>327</v>
      </c>
      <c r="F40" t="s">
        <v>328</v>
      </c>
      <c r="G40" t="s">
        <v>980</v>
      </c>
      <c r="H40" t="s">
        <v>317</v>
      </c>
      <c r="I40" t="s">
        <v>595</v>
      </c>
      <c r="J40" t="s">
        <v>981</v>
      </c>
      <c r="K40" t="s">
        <v>1080</v>
      </c>
      <c r="L40" t="s">
        <v>320</v>
      </c>
      <c r="M40">
        <v>30048</v>
      </c>
      <c r="N40" t="s">
        <v>982</v>
      </c>
      <c r="O40" t="s">
        <v>322</v>
      </c>
      <c r="P40" t="s">
        <v>983</v>
      </c>
      <c r="Q40">
        <v>51963</v>
      </c>
      <c r="R40" t="s">
        <v>984</v>
      </c>
      <c r="S40" t="s">
        <v>985</v>
      </c>
      <c r="W40" t="s">
        <v>748</v>
      </c>
    </row>
    <row r="41" spans="1:24">
      <c r="A41">
        <v>40</v>
      </c>
      <c r="B41">
        <v>45962.745156157413</v>
      </c>
      <c r="C41" t="s">
        <v>313</v>
      </c>
      <c r="D41" t="s">
        <v>986</v>
      </c>
      <c r="E41" t="s">
        <v>327</v>
      </c>
      <c r="F41" t="s">
        <v>833</v>
      </c>
      <c r="G41" t="s">
        <v>987</v>
      </c>
      <c r="H41" t="s">
        <v>317</v>
      </c>
      <c r="I41" t="s">
        <v>648</v>
      </c>
      <c r="J41" t="s">
        <v>397</v>
      </c>
      <c r="K41" t="s">
        <v>1081</v>
      </c>
      <c r="L41" t="s">
        <v>320</v>
      </c>
      <c r="M41">
        <v>30409</v>
      </c>
      <c r="N41" t="s">
        <v>988</v>
      </c>
      <c r="O41" t="s">
        <v>322</v>
      </c>
      <c r="P41" t="s">
        <v>989</v>
      </c>
      <c r="Q41">
        <v>52324</v>
      </c>
      <c r="R41" t="s">
        <v>990</v>
      </c>
      <c r="S41" t="s">
        <v>991</v>
      </c>
      <c r="T41" t="s">
        <v>989</v>
      </c>
      <c r="U41">
        <v>52324</v>
      </c>
      <c r="V41" t="s">
        <v>992</v>
      </c>
    </row>
    <row r="42" spans="1:24">
      <c r="A42">
        <v>41</v>
      </c>
      <c r="B42">
        <v>45963.309813912041</v>
      </c>
      <c r="C42" t="s">
        <v>313</v>
      </c>
      <c r="D42" t="s">
        <v>93</v>
      </c>
      <c r="E42" t="s">
        <v>654</v>
      </c>
      <c r="F42" t="s">
        <v>401</v>
      </c>
      <c r="G42" t="s">
        <v>993</v>
      </c>
      <c r="H42" t="s">
        <v>317</v>
      </c>
      <c r="I42" t="s">
        <v>648</v>
      </c>
      <c r="J42" t="s">
        <v>994</v>
      </c>
      <c r="K42" t="s">
        <v>681</v>
      </c>
      <c r="L42" t="s">
        <v>320</v>
      </c>
      <c r="M42">
        <v>29283</v>
      </c>
      <c r="N42" t="s">
        <v>995</v>
      </c>
      <c r="O42" t="s">
        <v>322</v>
      </c>
      <c r="P42" t="s">
        <v>996</v>
      </c>
      <c r="Q42">
        <v>51198</v>
      </c>
      <c r="R42" t="s">
        <v>997</v>
      </c>
      <c r="S42" t="s">
        <v>998</v>
      </c>
      <c r="W42" t="s">
        <v>741</v>
      </c>
    </row>
    <row r="43" spans="1:24">
      <c r="A43">
        <v>42</v>
      </c>
      <c r="B43">
        <v>45964.459000011571</v>
      </c>
      <c r="C43" t="s">
        <v>313</v>
      </c>
      <c r="D43" t="s">
        <v>257</v>
      </c>
      <c r="E43" t="s">
        <v>394</v>
      </c>
      <c r="F43" t="s">
        <v>328</v>
      </c>
      <c r="G43" t="s">
        <v>999</v>
      </c>
      <c r="H43" t="s">
        <v>317</v>
      </c>
      <c r="I43" t="s">
        <v>648</v>
      </c>
      <c r="J43" t="s">
        <v>1000</v>
      </c>
      <c r="K43" t="s">
        <v>1082</v>
      </c>
      <c r="L43" t="s">
        <v>320</v>
      </c>
      <c r="M43">
        <v>34819</v>
      </c>
      <c r="N43" t="s">
        <v>1001</v>
      </c>
      <c r="O43" t="s">
        <v>322</v>
      </c>
      <c r="P43" t="s">
        <v>1002</v>
      </c>
      <c r="Q43">
        <v>49429</v>
      </c>
      <c r="R43" t="s">
        <v>1003</v>
      </c>
      <c r="S43" t="s">
        <v>1004</v>
      </c>
      <c r="W43" t="s">
        <v>748</v>
      </c>
    </row>
    <row r="44" spans="1:24">
      <c r="A44">
        <v>43</v>
      </c>
      <c r="B44">
        <v>45966.917372256939</v>
      </c>
      <c r="C44" t="s">
        <v>313</v>
      </c>
      <c r="D44" t="s">
        <v>1005</v>
      </c>
      <c r="E44" t="s">
        <v>394</v>
      </c>
      <c r="F44" t="s">
        <v>1006</v>
      </c>
      <c r="G44" t="s">
        <v>1007</v>
      </c>
      <c r="H44" t="s">
        <v>349</v>
      </c>
      <c r="I44" t="s">
        <v>1008</v>
      </c>
      <c r="J44" t="s">
        <v>367</v>
      </c>
      <c r="K44" t="s">
        <v>683</v>
      </c>
      <c r="L44" t="s">
        <v>320</v>
      </c>
      <c r="M44">
        <v>30919</v>
      </c>
      <c r="N44" t="s">
        <v>1009</v>
      </c>
      <c r="O44" t="s">
        <v>322</v>
      </c>
      <c r="P44" t="s">
        <v>1010</v>
      </c>
      <c r="Q44">
        <v>52834</v>
      </c>
      <c r="R44" t="s">
        <v>1011</v>
      </c>
      <c r="S44" t="s">
        <v>1012</v>
      </c>
      <c r="W44" t="s">
        <v>764</v>
      </c>
    </row>
    <row r="45" spans="1:24">
      <c r="A45">
        <v>44</v>
      </c>
      <c r="B45">
        <v>45964.968805543976</v>
      </c>
      <c r="C45" t="s">
        <v>313</v>
      </c>
      <c r="D45" t="s">
        <v>90</v>
      </c>
      <c r="E45" t="s">
        <v>654</v>
      </c>
      <c r="F45">
        <v>18</v>
      </c>
      <c r="G45" t="s">
        <v>1013</v>
      </c>
      <c r="H45" t="s">
        <v>317</v>
      </c>
      <c r="I45" t="s">
        <v>1014</v>
      </c>
      <c r="J45" t="s">
        <v>1015</v>
      </c>
      <c r="K45" t="s">
        <v>1083</v>
      </c>
      <c r="L45" t="s">
        <v>320</v>
      </c>
      <c r="M45">
        <v>29454</v>
      </c>
      <c r="N45" t="s">
        <v>1016</v>
      </c>
      <c r="O45" t="s">
        <v>322</v>
      </c>
      <c r="P45" t="s">
        <v>1017</v>
      </c>
      <c r="Q45">
        <v>51369</v>
      </c>
      <c r="R45" t="s">
        <v>1018</v>
      </c>
      <c r="S45" t="s">
        <v>1019</v>
      </c>
      <c r="W45" t="s">
        <v>741</v>
      </c>
    </row>
    <row r="46" spans="1:24">
      <c r="A46">
        <v>45</v>
      </c>
      <c r="B46">
        <v>45971.422180682872</v>
      </c>
      <c r="C46" t="s">
        <v>313</v>
      </c>
      <c r="D46" t="s">
        <v>107</v>
      </c>
      <c r="E46" t="s">
        <v>327</v>
      </c>
      <c r="F46" t="s">
        <v>359</v>
      </c>
      <c r="G46" t="s">
        <v>1020</v>
      </c>
      <c r="H46" t="s">
        <v>317</v>
      </c>
      <c r="I46" t="s">
        <v>1021</v>
      </c>
      <c r="J46" t="s">
        <v>1022</v>
      </c>
      <c r="K46" t="s">
        <v>1084</v>
      </c>
      <c r="L46" t="s">
        <v>320</v>
      </c>
      <c r="M46">
        <v>30849</v>
      </c>
      <c r="N46" t="s">
        <v>1023</v>
      </c>
      <c r="O46" t="s">
        <v>322</v>
      </c>
      <c r="P46" t="s">
        <v>1024</v>
      </c>
      <c r="Q46">
        <v>52764</v>
      </c>
      <c r="R46" t="s">
        <v>1025</v>
      </c>
      <c r="S46" t="s">
        <v>1026</v>
      </c>
      <c r="W46" t="s">
        <v>748</v>
      </c>
      <c r="X46" t="s">
        <v>1020</v>
      </c>
    </row>
    <row r="47" spans="1:24">
      <c r="A47">
        <v>46</v>
      </c>
      <c r="B47">
        <v>45971.427721550921</v>
      </c>
      <c r="C47" t="s">
        <v>313</v>
      </c>
      <c r="D47" t="s">
        <v>191</v>
      </c>
      <c r="E47" t="s">
        <v>327</v>
      </c>
      <c r="F47" t="s">
        <v>383</v>
      </c>
      <c r="G47" t="s">
        <v>1027</v>
      </c>
      <c r="H47" t="s">
        <v>317</v>
      </c>
      <c r="I47" t="s">
        <v>557</v>
      </c>
      <c r="J47" t="s">
        <v>1028</v>
      </c>
      <c r="K47" t="s">
        <v>1085</v>
      </c>
      <c r="L47" t="s">
        <v>320</v>
      </c>
      <c r="M47">
        <v>32577</v>
      </c>
      <c r="N47" t="s">
        <v>1029</v>
      </c>
      <c r="O47" t="s">
        <v>322</v>
      </c>
      <c r="P47" t="s">
        <v>1030</v>
      </c>
      <c r="Q47">
        <v>47187</v>
      </c>
      <c r="R47" t="s">
        <v>1031</v>
      </c>
      <c r="S47" t="s">
        <v>1032</v>
      </c>
      <c r="W47" t="s">
        <v>826</v>
      </c>
      <c r="X47" t="s">
        <v>1027</v>
      </c>
    </row>
    <row r="48" spans="1:24">
      <c r="A48">
        <v>47</v>
      </c>
      <c r="B48">
        <v>45971.433435590283</v>
      </c>
      <c r="C48" t="s">
        <v>313</v>
      </c>
      <c r="D48" t="s">
        <v>156</v>
      </c>
      <c r="E48" t="s">
        <v>315</v>
      </c>
      <c r="F48" t="s">
        <v>316</v>
      </c>
      <c r="G48" t="s">
        <v>357</v>
      </c>
      <c r="H48" t="s">
        <v>317</v>
      </c>
      <c r="I48" t="s">
        <v>350</v>
      </c>
      <c r="J48" t="s">
        <v>356</v>
      </c>
      <c r="K48" t="s">
        <v>1086</v>
      </c>
      <c r="L48" t="s">
        <v>320</v>
      </c>
      <c r="M48">
        <v>27995</v>
      </c>
      <c r="N48" t="s">
        <v>1033</v>
      </c>
      <c r="O48" t="s">
        <v>322</v>
      </c>
      <c r="P48" t="s">
        <v>1034</v>
      </c>
      <c r="Q48">
        <v>49910</v>
      </c>
      <c r="R48" t="s">
        <v>1035</v>
      </c>
      <c r="S48" t="s">
        <v>1036</v>
      </c>
      <c r="W48" t="s">
        <v>780</v>
      </c>
      <c r="X48" t="s">
        <v>357</v>
      </c>
    </row>
    <row r="49" spans="1:24">
      <c r="A49">
        <v>48</v>
      </c>
      <c r="B49">
        <v>45972.360794664353</v>
      </c>
      <c r="C49" t="s">
        <v>313</v>
      </c>
      <c r="D49" t="s">
        <v>148</v>
      </c>
      <c r="E49" t="s">
        <v>327</v>
      </c>
      <c r="F49" t="s">
        <v>316</v>
      </c>
      <c r="G49" t="s">
        <v>1037</v>
      </c>
      <c r="H49" t="s">
        <v>317</v>
      </c>
      <c r="I49" t="s">
        <v>1038</v>
      </c>
      <c r="J49" t="s">
        <v>1039</v>
      </c>
      <c r="K49" t="s">
        <v>1087</v>
      </c>
      <c r="L49" t="s">
        <v>320</v>
      </c>
      <c r="M49">
        <v>29140</v>
      </c>
      <c r="N49" t="s">
        <v>1040</v>
      </c>
      <c r="O49" t="s">
        <v>322</v>
      </c>
      <c r="P49" t="s">
        <v>1041</v>
      </c>
      <c r="Q49">
        <v>51055</v>
      </c>
      <c r="R49" t="s">
        <v>1042</v>
      </c>
      <c r="S49" t="s">
        <v>1043</v>
      </c>
      <c r="W49" t="s">
        <v>764</v>
      </c>
      <c r="X49" t="s">
        <v>1037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/>
  <dimension ref="A1:U22"/>
  <sheetViews>
    <sheetView workbookViewId="0">
      <selection activeCell="D13" sqref="D13"/>
    </sheetView>
  </sheetViews>
  <sheetFormatPr defaultRowHeight="15"/>
  <cols>
    <col min="1" max="1" width="5.28515625" bestFit="1" customWidth="1"/>
    <col min="3" max="3" width="22.85546875" bestFit="1" customWidth="1"/>
    <col min="4" max="4" width="25.28515625" bestFit="1" customWidth="1"/>
    <col min="5" max="5" width="12.5703125" bestFit="1" customWidth="1"/>
    <col min="6" max="6" width="11" bestFit="1" customWidth="1"/>
    <col min="7" max="7" width="20.28515625" bestFit="1" customWidth="1"/>
    <col min="8" max="8" width="14.85546875" bestFit="1" customWidth="1"/>
    <col min="9" max="9" width="30.42578125" customWidth="1"/>
    <col min="10" max="10" width="50.140625" customWidth="1"/>
    <col min="11" max="11" width="20.7109375" bestFit="1" customWidth="1"/>
    <col min="12" max="12" width="26.7109375" bestFit="1" customWidth="1"/>
    <col min="13" max="13" width="24.5703125" bestFit="1" customWidth="1"/>
    <col min="14" max="17" width="11.140625" bestFit="1" customWidth="1"/>
    <col min="18" max="18" width="26.28515625" bestFit="1" customWidth="1"/>
    <col min="19" max="19" width="46" bestFit="1" customWidth="1"/>
    <col min="20" max="20" width="19.28515625" bestFit="1" customWidth="1"/>
    <col min="21" max="21" width="17.42578125" customWidth="1"/>
  </cols>
  <sheetData>
    <row r="1" spans="1:21">
      <c r="A1" t="s">
        <v>1</v>
      </c>
      <c r="B1" t="s">
        <v>50</v>
      </c>
      <c r="C1" t="s">
        <v>51</v>
      </c>
      <c r="D1" t="s">
        <v>659</v>
      </c>
      <c r="E1" t="s">
        <v>52</v>
      </c>
      <c r="F1" t="s">
        <v>53</v>
      </c>
      <c r="G1" t="s">
        <v>54</v>
      </c>
      <c r="H1" t="s">
        <v>55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660</v>
      </c>
      <c r="O1" t="s">
        <v>671</v>
      </c>
      <c r="P1" t="s">
        <v>672</v>
      </c>
      <c r="Q1" t="s">
        <v>673</v>
      </c>
      <c r="R1" t="s">
        <v>7</v>
      </c>
      <c r="S1" t="s">
        <v>1142</v>
      </c>
      <c r="T1" t="s">
        <v>1140</v>
      </c>
      <c r="U1" t="s">
        <v>1141</v>
      </c>
    </row>
    <row r="2" spans="1:21">
      <c r="A2">
        <v>1</v>
      </c>
      <c r="B2">
        <v>341</v>
      </c>
      <c r="C2" t="s">
        <v>57</v>
      </c>
      <c r="D2" t="s">
        <v>668</v>
      </c>
      <c r="E2">
        <v>1977</v>
      </c>
      <c r="F2" t="s">
        <v>30</v>
      </c>
      <c r="G2" t="s">
        <v>58</v>
      </c>
      <c r="H2" t="s">
        <v>59</v>
      </c>
      <c r="I2" t="str">
        <f>Merge18[[#This Row],[Append1.Số CCCD]]&amp;IF(ISBLANK(Merge18[[#This Row],[Append1.Số Hộ chiếu]]), "", "-")&amp;Merge18[[#This Row],[Append1.Số Hộ chiếu]]</f>
        <v>001176040741</v>
      </c>
      <c r="J2" t="str">
        <f>IF(ISBLANK(Merge18[[#This Row],[Append1.Mã ngạch viên chức]]),"",Merge18[[#This Row],[Append1.Mã ngạch viên chức]])</f>
        <v>Giáo viên trung học phổ thông hạng III - V.07.05.15</v>
      </c>
      <c r="S2" t="s">
        <v>327</v>
      </c>
      <c r="T2" t="s">
        <v>633</v>
      </c>
    </row>
    <row r="3" spans="1:21">
      <c r="A3">
        <v>2</v>
      </c>
      <c r="B3">
        <v>342</v>
      </c>
      <c r="C3" t="s">
        <v>60</v>
      </c>
      <c r="D3" t="s">
        <v>664</v>
      </c>
      <c r="E3">
        <v>1976</v>
      </c>
      <c r="F3" t="s">
        <v>21</v>
      </c>
      <c r="G3" t="s">
        <v>26</v>
      </c>
      <c r="H3" t="s">
        <v>61</v>
      </c>
      <c r="I3" t="str">
        <f>Merge18[[#This Row],[Append1.Số CCCD]]&amp;IF(ISBLANK(Merge18[[#This Row],[Append1.Số Hộ chiếu]]), "", "-")&amp;Merge18[[#This Row],[Append1.Số Hộ chiếu]]</f>
        <v>001176040670</v>
      </c>
      <c r="J3" t="str">
        <f>IF(ISBLANK(Merge18[[#This Row],[Append1.Mã ngạch viên chức]]),"",Merge18[[#This Row],[Append1.Mã ngạch viên chức]])</f>
        <v>Giáo viên trung học cơ sở hạng II - V.07.04.31</v>
      </c>
      <c r="S3" t="s">
        <v>315</v>
      </c>
      <c r="T3" t="s">
        <v>518</v>
      </c>
    </row>
    <row r="4" spans="1:21">
      <c r="A4">
        <v>3</v>
      </c>
      <c r="B4">
        <v>343</v>
      </c>
      <c r="C4" t="s">
        <v>685</v>
      </c>
      <c r="D4" t="s">
        <v>684</v>
      </c>
      <c r="E4">
        <v>1977</v>
      </c>
      <c r="F4" t="s">
        <v>21</v>
      </c>
      <c r="G4" t="s">
        <v>62</v>
      </c>
      <c r="H4" t="s">
        <v>61</v>
      </c>
      <c r="I4" t="str">
        <f>Merge18[[#This Row],[Append1.Số CCCD]]&amp;IF(ISBLANK(Merge18[[#This Row],[Append1.Số Hộ chiếu]]), "", "-")&amp;Merge18[[#This Row],[Append1.Số Hộ chiếu]]</f>
        <v>025177005125</v>
      </c>
      <c r="J4" t="str">
        <f>IF(ISBLANK(Merge18[[#This Row],[Append1.Mã ngạch viên chức]]),"",Merge18[[#This Row],[Append1.Mã ngạch viên chức]])</f>
        <v>V07.04.11</v>
      </c>
      <c r="S4" t="s">
        <v>711</v>
      </c>
      <c r="T4" t="s">
        <v>715</v>
      </c>
    </row>
    <row r="5" spans="1:21">
      <c r="A5">
        <v>4</v>
      </c>
      <c r="B5">
        <v>344</v>
      </c>
      <c r="C5" t="s">
        <v>63</v>
      </c>
      <c r="D5" t="s">
        <v>670</v>
      </c>
      <c r="E5">
        <v>1975</v>
      </c>
      <c r="F5" t="s">
        <v>21</v>
      </c>
      <c r="G5" t="s">
        <v>64</v>
      </c>
      <c r="H5" t="s">
        <v>27</v>
      </c>
      <c r="I5" t="str">
        <f>Merge18[[#This Row],[Append1.Số CCCD]]&amp;IF(ISBLANK(Merge18[[#This Row],[Append1.Số Hộ chiếu]]), "", "-")&amp;Merge18[[#This Row],[Append1.Số Hộ chiếu]]</f>
        <v>001075011375</v>
      </c>
      <c r="J5" t="str">
        <f>IF(ISBLANK(Merge18[[#This Row],[Append1.Mã ngạch viên chức]]),"",Merge18[[#This Row],[Append1.Mã ngạch viên chức]])</f>
        <v>Giáo viên trung học cơ sở hạng II - V.07.04.31</v>
      </c>
      <c r="S5" t="s">
        <v>315</v>
      </c>
      <c r="T5" t="s">
        <v>651</v>
      </c>
    </row>
    <row r="6" spans="1:21">
      <c r="A6">
        <v>5</v>
      </c>
      <c r="B6">
        <v>345</v>
      </c>
      <c r="C6" t="s">
        <v>65</v>
      </c>
      <c r="D6" t="s">
        <v>667</v>
      </c>
      <c r="E6">
        <v>1977</v>
      </c>
      <c r="F6" t="s">
        <v>21</v>
      </c>
      <c r="G6" t="s">
        <v>66</v>
      </c>
      <c r="H6" t="s">
        <v>27</v>
      </c>
      <c r="I6" t="str">
        <f>Merge18[[#This Row],[Append1.Số CCCD]]&amp;IF(ISBLANK(Merge18[[#This Row],[Append1.Số Hộ chiếu]]), "", "-")&amp;Merge18[[#This Row],[Append1.Số Hộ chiếu]]</f>
        <v>001177009537</v>
      </c>
      <c r="J6" t="str">
        <f>IF(ISBLANK(Merge18[[#This Row],[Append1.Mã ngạch viên chức]]),"",Merge18[[#This Row],[Append1.Mã ngạch viên chức]])</f>
        <v>Giáo viên trung học cơ sở hạng III - V.07.04.32</v>
      </c>
      <c r="S6" t="s">
        <v>394</v>
      </c>
      <c r="T6" t="s">
        <v>586</v>
      </c>
    </row>
    <row r="7" spans="1:21">
      <c r="A7">
        <v>6</v>
      </c>
      <c r="B7">
        <v>4</v>
      </c>
      <c r="C7" t="s">
        <v>67</v>
      </c>
      <c r="D7" t="s">
        <v>669</v>
      </c>
      <c r="E7">
        <v>1983</v>
      </c>
      <c r="F7" t="s">
        <v>19</v>
      </c>
      <c r="G7" t="s">
        <v>68</v>
      </c>
      <c r="H7" t="s">
        <v>20</v>
      </c>
      <c r="I7" t="str">
        <f>Merge18[[#This Row],[Append1.Số CCCD]]&amp;IF(ISBLANK(Merge18[[#This Row],[Append1.Số Hộ chiếu]]), "", "-")&amp;Merge18[[#This Row],[Append1.Số Hộ chiếu]]</f>
        <v>026183003026-E032337481</v>
      </c>
      <c r="J7" t="str">
        <f>IF(ISBLANK(Merge18[[#This Row],[Append1.Mã ngạch viên chức]]),"",Merge18[[#This Row],[Append1.Mã ngạch viên chức]])</f>
        <v>Giáo viên tiểu học hạng II – V.07.03.28</v>
      </c>
      <c r="S7" t="s">
        <v>377</v>
      </c>
      <c r="T7" t="s">
        <v>626</v>
      </c>
      <c r="U7" t="s">
        <v>629</v>
      </c>
    </row>
    <row r="8" spans="1:21">
      <c r="A8">
        <v>7</v>
      </c>
      <c r="B8">
        <v>347</v>
      </c>
      <c r="C8" t="s">
        <v>69</v>
      </c>
      <c r="D8" t="s">
        <v>661</v>
      </c>
      <c r="E8">
        <v>1975</v>
      </c>
      <c r="F8" t="s">
        <v>21</v>
      </c>
      <c r="G8" t="s">
        <v>70</v>
      </c>
      <c r="H8" t="s">
        <v>71</v>
      </c>
      <c r="I8" t="str">
        <f>Merge18[[#This Row],[Append1.Số CCCD]]&amp;IF(ISBLANK(Merge18[[#This Row],[Append1.Số Hộ chiếu]]), "", "-")&amp;Merge18[[#This Row],[Append1.Số Hộ chiếu]]</f>
        <v>001175030348</v>
      </c>
      <c r="J8" t="str">
        <f>IF(ISBLANK(Merge18[[#This Row],[Append1.Mã ngạch viên chức]]),"",Merge18[[#This Row],[Append1.Mã ngạch viên chức]])</f>
        <v>Giáo viên trung học cơ sở hạng II - V.07.04.31</v>
      </c>
      <c r="S8" t="s">
        <v>315</v>
      </c>
      <c r="T8" t="s">
        <v>405</v>
      </c>
    </row>
    <row r="9" spans="1:21">
      <c r="A9">
        <v>8</v>
      </c>
      <c r="B9">
        <v>348</v>
      </c>
      <c r="C9" t="s">
        <v>72</v>
      </c>
      <c r="D9" t="s">
        <v>662</v>
      </c>
      <c r="E9">
        <v>1977</v>
      </c>
      <c r="F9" t="s">
        <v>19</v>
      </c>
      <c r="G9" t="s">
        <v>73</v>
      </c>
      <c r="H9" t="s">
        <v>71</v>
      </c>
      <c r="I9" t="str">
        <f>Merge18[[#This Row],[Append1.Số CCCD]]&amp;IF(ISBLANK(Merge18[[#This Row],[Append1.Số Hộ chiếu]]), "", "-")&amp;Merge18[[#This Row],[Append1.Số Hộ chiếu]]</f>
        <v>001177032960</v>
      </c>
      <c r="J9" t="str">
        <f>IF(ISBLANK(Merge18[[#This Row],[Append1.Mã ngạch viên chức]]),"",Merge18[[#This Row],[Append1.Mã ngạch viên chức]])</f>
        <v>Giáo viên tiểu học hạng II – V.07.03.28</v>
      </c>
      <c r="S9" t="s">
        <v>377</v>
      </c>
      <c r="T9" t="s">
        <v>411</v>
      </c>
    </row>
    <row r="10" spans="1:21">
      <c r="A10">
        <v>9</v>
      </c>
      <c r="B10">
        <v>349</v>
      </c>
      <c r="C10" t="s">
        <v>74</v>
      </c>
      <c r="D10" t="s">
        <v>665</v>
      </c>
      <c r="E10">
        <v>1975</v>
      </c>
      <c r="F10" t="s">
        <v>21</v>
      </c>
      <c r="G10" t="s">
        <v>75</v>
      </c>
      <c r="H10" t="s">
        <v>76</v>
      </c>
      <c r="I10" t="str">
        <f>Merge18[[#This Row],[Append1.Số CCCD]]&amp;IF(ISBLANK(Merge18[[#This Row],[Append1.Số Hộ chiếu]]), "", "-")&amp;Merge18[[#This Row],[Append1.Số Hộ chiếu]]</f>
        <v>001175014156</v>
      </c>
      <c r="J10" t="str">
        <f>IF(ISBLANK(Merge18[[#This Row],[Append1.Mã ngạch viên chức]]),"",Merge18[[#This Row],[Append1.Mã ngạch viên chức]])</f>
        <v>Giáo viên trung học cơ sở hạng II - V.07.04.31</v>
      </c>
      <c r="S10" t="s">
        <v>315</v>
      </c>
      <c r="T10" t="s">
        <v>537</v>
      </c>
    </row>
    <row r="11" spans="1:21">
      <c r="A11">
        <v>10</v>
      </c>
      <c r="B11">
        <v>350</v>
      </c>
      <c r="C11" t="s">
        <v>77</v>
      </c>
      <c r="D11" t="s">
        <v>663</v>
      </c>
      <c r="E11">
        <v>1976</v>
      </c>
      <c r="F11" t="s">
        <v>21</v>
      </c>
      <c r="G11" t="s">
        <v>78</v>
      </c>
      <c r="H11" t="s">
        <v>76</v>
      </c>
      <c r="I11" t="str">
        <f>Merge18[[#This Row],[Append1.Số CCCD]]&amp;IF(ISBLANK(Merge18[[#This Row],[Append1.Số Hộ chiếu]]), "", "-")&amp;Merge18[[#This Row],[Append1.Số Hộ chiếu]]</f>
        <v>001176048717</v>
      </c>
      <c r="J11" t="str">
        <f>IF(ISBLANK(Merge18[[#This Row],[Append1.Mã ngạch viên chức]]),"",Merge18[[#This Row],[Append1.Mã ngạch viên chức]])</f>
        <v>Giáo viên trung học cơ sở hạng III - V.07.04.32</v>
      </c>
      <c r="S11" t="s">
        <v>394</v>
      </c>
      <c r="T11" t="s">
        <v>471</v>
      </c>
    </row>
    <row r="12" spans="1:21">
      <c r="A12">
        <v>10</v>
      </c>
      <c r="B12">
        <v>350</v>
      </c>
      <c r="C12" t="s">
        <v>77</v>
      </c>
      <c r="D12" t="s">
        <v>663</v>
      </c>
      <c r="E12">
        <v>1976</v>
      </c>
      <c r="F12" t="s">
        <v>21</v>
      </c>
      <c r="G12" t="s">
        <v>78</v>
      </c>
      <c r="H12" t="s">
        <v>76</v>
      </c>
      <c r="I12" t="str">
        <f>Merge18[[#This Row],[Append1.Số CCCD]]&amp;IF(ISBLANK(Merge18[[#This Row],[Append1.Số Hộ chiếu]]), "", "-")&amp;Merge18[[#This Row],[Append1.Số Hộ chiếu]]</f>
        <v>001176048717</v>
      </c>
      <c r="J12" t="str">
        <f>IF(ISBLANK(Merge18[[#This Row],[Append1.Mã ngạch viên chức]]),"",Merge18[[#This Row],[Append1.Mã ngạch viên chức]])</f>
        <v>Giáo viên trung học cơ sở hạng III - V.07.04.32</v>
      </c>
      <c r="S12" t="s">
        <v>394</v>
      </c>
      <c r="T12" t="s">
        <v>471</v>
      </c>
    </row>
    <row r="13" spans="1:21">
      <c r="A13">
        <v>11</v>
      </c>
      <c r="B13">
        <v>351</v>
      </c>
      <c r="C13" t="s">
        <v>79</v>
      </c>
      <c r="D13" t="s">
        <v>678</v>
      </c>
      <c r="E13">
        <v>1975</v>
      </c>
      <c r="F13" t="s">
        <v>21</v>
      </c>
      <c r="G13" t="s">
        <v>80</v>
      </c>
      <c r="H13" t="s">
        <v>81</v>
      </c>
      <c r="I13" t="str">
        <f>Merge18[[#This Row],[Append1.Số CCCD]]&amp;IF(ISBLANK(Merge18[[#This Row],[Append1.Số Hộ chiếu]]), "", "-")&amp;Merge18[[#This Row],[Append1.Số Hộ chiếu]]</f>
        <v/>
      </c>
      <c r="J13" t="str">
        <f>IF(ISBLANK(Merge18[[#This Row],[Append1.Mã ngạch viên chức]]),"",Merge18[[#This Row],[Append1.Mã ngạch viên chức]])</f>
        <v/>
      </c>
    </row>
    <row r="14" spans="1:21">
      <c r="A14">
        <v>12</v>
      </c>
      <c r="B14">
        <v>352</v>
      </c>
      <c r="C14" t="s">
        <v>82</v>
      </c>
      <c r="D14" t="s">
        <v>683</v>
      </c>
      <c r="E14">
        <v>1984</v>
      </c>
      <c r="F14" t="s">
        <v>21</v>
      </c>
      <c r="G14" t="s">
        <v>83</v>
      </c>
      <c r="H14" t="s">
        <v>81</v>
      </c>
      <c r="I14" t="str">
        <f>Merge18[[#This Row],[Append1.Số CCCD]]&amp;IF(ISBLANK(Merge18[[#This Row],[Append1.Số Hộ chiếu]]), "", "-")&amp;Merge18[[#This Row],[Append1.Số Hộ chiếu]]</f>
        <v>001184022018</v>
      </c>
      <c r="J14" t="str">
        <f>IF(ISBLANK(Merge18[[#This Row],[Append1.Mã ngạch viên chức]]),"",Merge18[[#This Row],[Append1.Mã ngạch viên chức]])</f>
        <v>Giáo viên trung học cơ sở hạng III - V.07.04.32</v>
      </c>
      <c r="S14" t="s">
        <v>394</v>
      </c>
      <c r="T14" t="s">
        <v>1010</v>
      </c>
    </row>
    <row r="15" spans="1:21">
      <c r="A15">
        <v>13</v>
      </c>
      <c r="B15">
        <v>353</v>
      </c>
      <c r="C15" t="s">
        <v>84</v>
      </c>
      <c r="D15" t="s">
        <v>680</v>
      </c>
      <c r="E15">
        <v>1976</v>
      </c>
      <c r="F15" t="s">
        <v>21</v>
      </c>
      <c r="G15" t="s">
        <v>83</v>
      </c>
      <c r="H15" t="s">
        <v>81</v>
      </c>
      <c r="I15" t="str">
        <f>Merge18[[#This Row],[Append1.Số CCCD]]&amp;IF(ISBLANK(Merge18[[#This Row],[Append1.Số Hộ chiếu]]), "", "-")&amp;Merge18[[#This Row],[Append1.Số Hộ chiếu]]</f>
        <v/>
      </c>
      <c r="J15" t="str">
        <f>IF(ISBLANK(Merge18[[#This Row],[Append1.Mã ngạch viên chức]]),"",Merge18[[#This Row],[Append1.Mã ngạch viên chức]])</f>
        <v/>
      </c>
    </row>
    <row r="16" spans="1:21">
      <c r="A16">
        <v>14</v>
      </c>
      <c r="B16">
        <v>354</v>
      </c>
      <c r="C16" t="s">
        <v>85</v>
      </c>
      <c r="D16" t="s">
        <v>675</v>
      </c>
      <c r="E16">
        <v>1974</v>
      </c>
      <c r="F16" t="s">
        <v>21</v>
      </c>
      <c r="G16" t="s">
        <v>86</v>
      </c>
      <c r="H16" t="s">
        <v>81</v>
      </c>
      <c r="I16" t="str">
        <f>Merge18[[#This Row],[Append1.Số CCCD]]&amp;IF(ISBLANK(Merge18[[#This Row],[Append1.Số Hộ chiếu]]), "", "-")&amp;Merge18[[#This Row],[Append1.Số Hộ chiếu]]</f>
        <v/>
      </c>
      <c r="J16" t="str">
        <f>IF(ISBLANK(Merge18[[#This Row],[Append1.Mã ngạch viên chức]]),"",Merge18[[#This Row],[Append1.Mã ngạch viên chức]])</f>
        <v/>
      </c>
    </row>
    <row r="17" spans="1:20">
      <c r="A17">
        <v>15</v>
      </c>
      <c r="B17">
        <v>355</v>
      </c>
      <c r="C17" t="s">
        <v>87</v>
      </c>
      <c r="D17" t="s">
        <v>676</v>
      </c>
      <c r="E17">
        <v>1984</v>
      </c>
      <c r="F17" t="s">
        <v>19</v>
      </c>
      <c r="G17" t="s">
        <v>88</v>
      </c>
      <c r="H17" t="s">
        <v>20</v>
      </c>
      <c r="I17" t="str">
        <f>Merge18[[#This Row],[Append1.Số CCCD]]&amp;IF(ISBLANK(Merge18[[#This Row],[Append1.Số Hộ chiếu]]), "", "-")&amp;Merge18[[#This Row],[Append1.Số Hộ chiếu]]</f>
        <v/>
      </c>
      <c r="J17" t="str">
        <f>IF(ISBLANK(Merge18[[#This Row],[Append1.Mã ngạch viên chức]]),"",Merge18[[#This Row],[Append1.Mã ngạch viên chức]])</f>
        <v/>
      </c>
    </row>
    <row r="18" spans="1:20">
      <c r="A18">
        <v>16</v>
      </c>
      <c r="B18">
        <v>356</v>
      </c>
      <c r="C18" t="s">
        <v>89</v>
      </c>
      <c r="D18" t="s">
        <v>682</v>
      </c>
      <c r="E18">
        <v>1980</v>
      </c>
      <c r="F18" t="s">
        <v>19</v>
      </c>
      <c r="G18" t="s">
        <v>90</v>
      </c>
      <c r="H18" t="s">
        <v>91</v>
      </c>
      <c r="I18" t="str">
        <f>Merge18[[#This Row],[Append1.Số CCCD]]&amp;IF(ISBLANK(Merge18[[#This Row],[Append1.Số Hộ chiếu]]), "", "-")&amp;Merge18[[#This Row],[Append1.Số Hộ chiếu]]</f>
        <v/>
      </c>
      <c r="J18" t="str">
        <f>IF(ISBLANK(Merge18[[#This Row],[Append1.Mã ngạch viên chức]]),"",Merge18[[#This Row],[Append1.Mã ngạch viên chức]])</f>
        <v/>
      </c>
    </row>
    <row r="19" spans="1:20">
      <c r="A19">
        <v>17</v>
      </c>
      <c r="B19">
        <v>357</v>
      </c>
      <c r="C19" t="s">
        <v>92</v>
      </c>
      <c r="D19" t="s">
        <v>681</v>
      </c>
      <c r="E19">
        <v>1980</v>
      </c>
      <c r="F19" t="s">
        <v>19</v>
      </c>
      <c r="G19" t="s">
        <v>93</v>
      </c>
      <c r="H19" t="s">
        <v>94</v>
      </c>
      <c r="I19" t="str">
        <f>Merge18[[#This Row],[Append1.Số CCCD]]&amp;IF(ISBLANK(Merge18[[#This Row],[Append1.Số Hộ chiếu]]), "", "-")&amp;Merge18[[#This Row],[Append1.Số Hộ chiếu]]</f>
        <v>001180005662</v>
      </c>
      <c r="J19" t="str">
        <f>IF(ISBLANK(Merge18[[#This Row],[Append1.Mã ngạch viên chức]]),"",Merge18[[#This Row],[Append1.Mã ngạch viên chức]])</f>
        <v>Giáo viên tiểu học hạng III – V.07.03.29</v>
      </c>
      <c r="S19" t="s">
        <v>654</v>
      </c>
      <c r="T19" t="s">
        <v>996</v>
      </c>
    </row>
    <row r="20" spans="1:20">
      <c r="A20">
        <v>18</v>
      </c>
      <c r="B20">
        <v>358</v>
      </c>
      <c r="C20" t="s">
        <v>95</v>
      </c>
      <c r="D20" t="s">
        <v>677</v>
      </c>
      <c r="E20">
        <v>1977</v>
      </c>
      <c r="F20" t="s">
        <v>19</v>
      </c>
      <c r="G20" t="s">
        <v>96</v>
      </c>
      <c r="H20" t="s">
        <v>97</v>
      </c>
      <c r="I20" t="str">
        <f>Merge18[[#This Row],[Append1.Số CCCD]]&amp;IF(ISBLANK(Merge18[[#This Row],[Append1.Số Hộ chiếu]]), "", "-")&amp;Merge18[[#This Row],[Append1.Số Hộ chiếu]]</f>
        <v/>
      </c>
      <c r="J20" t="str">
        <f>IF(ISBLANK(Merge18[[#This Row],[Append1.Mã ngạch viên chức]]),"",Merge18[[#This Row],[Append1.Mã ngạch viên chức]])</f>
        <v/>
      </c>
    </row>
    <row r="21" spans="1:20">
      <c r="A21">
        <v>19</v>
      </c>
      <c r="B21">
        <v>359</v>
      </c>
      <c r="C21" t="s">
        <v>98</v>
      </c>
      <c r="D21" t="s">
        <v>679</v>
      </c>
      <c r="E21">
        <v>1977</v>
      </c>
      <c r="F21" t="s">
        <v>21</v>
      </c>
      <c r="G21" t="s">
        <v>99</v>
      </c>
      <c r="H21" t="s">
        <v>100</v>
      </c>
      <c r="I21" t="str">
        <f>Merge18[[#This Row],[Append1.Số CCCD]]&amp;IF(ISBLANK(Merge18[[#This Row],[Append1.Số Hộ chiếu]]), "", "-")&amp;Merge18[[#This Row],[Append1.Số Hộ chiếu]]</f>
        <v/>
      </c>
      <c r="J21" t="str">
        <f>IF(ISBLANK(Merge18[[#This Row],[Append1.Mã ngạch viên chức]]),"",Merge18[[#This Row],[Append1.Mã ngạch viên chức]])</f>
        <v/>
      </c>
    </row>
    <row r="22" spans="1:20">
      <c r="A22">
        <v>20</v>
      </c>
      <c r="B22">
        <v>360</v>
      </c>
      <c r="C22" t="s">
        <v>101</v>
      </c>
      <c r="D22" t="s">
        <v>674</v>
      </c>
      <c r="E22">
        <v>1976</v>
      </c>
      <c r="F22" t="s">
        <v>21</v>
      </c>
      <c r="G22" t="s">
        <v>99</v>
      </c>
      <c r="H22" t="s">
        <v>100</v>
      </c>
      <c r="I22" t="str">
        <f>Merge18[[#This Row],[Append1.Số CCCD]]&amp;IF(ISBLANK(Merge18[[#This Row],[Append1.Số Hộ chiếu]]), "", "-")&amp;Merge18[[#This Row],[Append1.Số Hộ chiếu]]</f>
        <v/>
      </c>
      <c r="J22" t="str">
        <f>IF(ISBLANK(Merge18[[#This Row],[Append1.Mã ngạch viên chức]]),"",Merge18[[#This Row],[Append1.Mã ngạch viên chức]])</f>
        <v/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/>
  <dimension ref="A1:U22"/>
  <sheetViews>
    <sheetView topLeftCell="H1" workbookViewId="0">
      <selection activeCell="D13" sqref="D13"/>
    </sheetView>
  </sheetViews>
  <sheetFormatPr defaultRowHeight="15"/>
  <cols>
    <col min="1" max="2" width="11.140625" bestFit="1" customWidth="1"/>
    <col min="3" max="3" width="19.140625" bestFit="1" customWidth="1"/>
    <col min="4" max="4" width="20.42578125" bestFit="1" customWidth="1"/>
    <col min="5" max="6" width="11.140625" bestFit="1" customWidth="1"/>
    <col min="7" max="7" width="15.85546875" bestFit="1" customWidth="1"/>
    <col min="8" max="8" width="11.7109375" bestFit="1" customWidth="1"/>
    <col min="9" max="10" width="11.140625" bestFit="1" customWidth="1"/>
    <col min="11" max="18" width="12.140625" bestFit="1" customWidth="1"/>
    <col min="19" max="19" width="46" bestFit="1" customWidth="1"/>
    <col min="20" max="20" width="19.28515625" bestFit="1" customWidth="1"/>
    <col min="21" max="21" width="22.42578125" bestFit="1" customWidth="1"/>
  </cols>
  <sheetData>
    <row r="1" spans="1:21">
      <c r="A1" t="s">
        <v>660</v>
      </c>
      <c r="B1" t="s">
        <v>671</v>
      </c>
      <c r="C1" t="s">
        <v>672</v>
      </c>
      <c r="D1" t="s">
        <v>1144</v>
      </c>
      <c r="E1" t="s">
        <v>673</v>
      </c>
      <c r="F1" t="s">
        <v>686</v>
      </c>
      <c r="G1" t="s">
        <v>687</v>
      </c>
      <c r="H1" t="s">
        <v>688</v>
      </c>
      <c r="I1" t="s">
        <v>689</v>
      </c>
      <c r="J1" t="s">
        <v>690</v>
      </c>
      <c r="K1" t="s">
        <v>691</v>
      </c>
      <c r="L1" t="s">
        <v>692</v>
      </c>
      <c r="M1" t="s">
        <v>693</v>
      </c>
      <c r="N1" t="s">
        <v>694</v>
      </c>
      <c r="O1" t="s">
        <v>695</v>
      </c>
      <c r="P1" t="s">
        <v>696</v>
      </c>
      <c r="Q1" t="s">
        <v>697</v>
      </c>
      <c r="R1" t="s">
        <v>698</v>
      </c>
      <c r="S1" t="s">
        <v>1142</v>
      </c>
      <c r="T1" t="s">
        <v>1140</v>
      </c>
      <c r="U1" t="s">
        <v>1141</v>
      </c>
    </row>
    <row r="2" spans="1:21">
      <c r="A2">
        <v>1</v>
      </c>
      <c r="B2">
        <v>361</v>
      </c>
      <c r="C2" t="s">
        <v>102</v>
      </c>
      <c r="D2" t="s">
        <v>1094</v>
      </c>
      <c r="E2">
        <v>1976</v>
      </c>
      <c r="F2" t="s">
        <v>21</v>
      </c>
      <c r="G2" t="s">
        <v>44</v>
      </c>
      <c r="H2" t="s">
        <v>100</v>
      </c>
      <c r="S2" t="s">
        <v>315</v>
      </c>
      <c r="T2" t="s">
        <v>560</v>
      </c>
    </row>
    <row r="3" spans="1:21">
      <c r="A3">
        <v>6</v>
      </c>
      <c r="B3">
        <v>366</v>
      </c>
      <c r="C3" t="s">
        <v>109</v>
      </c>
      <c r="D3" t="s">
        <v>1066</v>
      </c>
      <c r="E3">
        <v>1978</v>
      </c>
      <c r="F3" t="s">
        <v>30</v>
      </c>
      <c r="G3" t="s">
        <v>110</v>
      </c>
      <c r="H3" t="s">
        <v>100</v>
      </c>
      <c r="S3" t="s">
        <v>327</v>
      </c>
      <c r="T3" t="s">
        <v>493</v>
      </c>
    </row>
    <row r="4" spans="1:21">
      <c r="A4">
        <v>8</v>
      </c>
      <c r="B4">
        <v>368</v>
      </c>
      <c r="C4" t="s">
        <v>112</v>
      </c>
      <c r="D4" t="s">
        <v>1092</v>
      </c>
      <c r="E4">
        <v>1985</v>
      </c>
      <c r="F4" t="s">
        <v>30</v>
      </c>
      <c r="G4" t="s">
        <v>113</v>
      </c>
      <c r="H4" t="s">
        <v>114</v>
      </c>
      <c r="S4" t="s">
        <v>358</v>
      </c>
      <c r="T4" t="s">
        <v>488</v>
      </c>
    </row>
    <row r="5" spans="1:21">
      <c r="A5">
        <v>12</v>
      </c>
      <c r="B5">
        <v>372</v>
      </c>
      <c r="C5" t="s">
        <v>122</v>
      </c>
      <c r="D5" t="s">
        <v>1098</v>
      </c>
      <c r="E5">
        <v>1978</v>
      </c>
      <c r="F5" t="s">
        <v>19</v>
      </c>
      <c r="G5" t="s">
        <v>123</v>
      </c>
      <c r="H5" t="s">
        <v>71</v>
      </c>
      <c r="S5" t="s">
        <v>377</v>
      </c>
      <c r="T5" t="s">
        <v>427</v>
      </c>
    </row>
    <row r="6" spans="1:21">
      <c r="A6">
        <v>14</v>
      </c>
      <c r="B6">
        <v>374</v>
      </c>
      <c r="C6" t="s">
        <v>126</v>
      </c>
      <c r="D6" t="s">
        <v>1096</v>
      </c>
      <c r="E6">
        <v>1981</v>
      </c>
      <c r="F6" t="s">
        <v>19</v>
      </c>
      <c r="G6" t="s">
        <v>127</v>
      </c>
      <c r="H6" t="s">
        <v>121</v>
      </c>
      <c r="S6" t="s">
        <v>377</v>
      </c>
      <c r="T6" t="s">
        <v>380</v>
      </c>
    </row>
    <row r="7" spans="1:21">
      <c r="A7">
        <v>16</v>
      </c>
      <c r="B7">
        <v>376</v>
      </c>
      <c r="C7" t="s">
        <v>130</v>
      </c>
      <c r="D7" t="s">
        <v>1095</v>
      </c>
      <c r="E7">
        <v>1978</v>
      </c>
      <c r="F7" t="s">
        <v>21</v>
      </c>
      <c r="G7" t="s">
        <v>131</v>
      </c>
      <c r="H7" t="s">
        <v>27</v>
      </c>
      <c r="S7" t="s">
        <v>315</v>
      </c>
      <c r="T7" t="s">
        <v>369</v>
      </c>
    </row>
    <row r="8" spans="1:21">
      <c r="A8">
        <v>17</v>
      </c>
      <c r="B8">
        <v>377</v>
      </c>
      <c r="C8" t="s">
        <v>132</v>
      </c>
      <c r="D8" t="s">
        <v>1097</v>
      </c>
      <c r="E8">
        <v>1978</v>
      </c>
      <c r="F8" t="s">
        <v>21</v>
      </c>
      <c r="G8" t="s">
        <v>133</v>
      </c>
      <c r="H8" t="s">
        <v>27</v>
      </c>
      <c r="S8" t="s">
        <v>315</v>
      </c>
      <c r="T8" t="s">
        <v>513</v>
      </c>
    </row>
    <row r="9" spans="1:21">
      <c r="A9">
        <v>7</v>
      </c>
      <c r="B9">
        <v>367</v>
      </c>
      <c r="C9" t="s">
        <v>111</v>
      </c>
      <c r="D9" t="s">
        <v>1100</v>
      </c>
      <c r="E9">
        <v>1977</v>
      </c>
      <c r="F9" t="s">
        <v>30</v>
      </c>
      <c r="G9" t="s">
        <v>110</v>
      </c>
      <c r="H9" t="s">
        <v>100</v>
      </c>
      <c r="S9" t="s">
        <v>327</v>
      </c>
      <c r="T9" t="s">
        <v>451</v>
      </c>
    </row>
    <row r="10" spans="1:21">
      <c r="A10">
        <v>13</v>
      </c>
      <c r="B10">
        <v>373</v>
      </c>
      <c r="C10" t="s">
        <v>124</v>
      </c>
      <c r="D10" t="s">
        <v>1059</v>
      </c>
      <c r="E10">
        <v>1985</v>
      </c>
      <c r="F10" t="s">
        <v>19</v>
      </c>
      <c r="G10" t="s">
        <v>125</v>
      </c>
      <c r="H10" t="s">
        <v>61</v>
      </c>
      <c r="S10" t="s">
        <v>840</v>
      </c>
      <c r="T10" t="s">
        <v>845</v>
      </c>
    </row>
    <row r="11" spans="1:21">
      <c r="A11">
        <v>6</v>
      </c>
      <c r="B11">
        <v>366</v>
      </c>
      <c r="C11" t="s">
        <v>109</v>
      </c>
      <c r="D11" t="s">
        <v>1066</v>
      </c>
      <c r="E11">
        <v>1978</v>
      </c>
      <c r="F11" t="s">
        <v>30</v>
      </c>
      <c r="G11" t="s">
        <v>110</v>
      </c>
      <c r="H11" t="s">
        <v>100</v>
      </c>
      <c r="S11" t="s">
        <v>327</v>
      </c>
      <c r="T11" t="s">
        <v>895</v>
      </c>
    </row>
    <row r="12" spans="1:21">
      <c r="A12">
        <v>5</v>
      </c>
      <c r="B12">
        <v>365</v>
      </c>
      <c r="C12" t="s">
        <v>108</v>
      </c>
      <c r="D12" t="s">
        <v>1074</v>
      </c>
      <c r="E12">
        <v>1976</v>
      </c>
      <c r="F12" t="s">
        <v>30</v>
      </c>
      <c r="G12" t="s">
        <v>107</v>
      </c>
      <c r="H12" t="s">
        <v>100</v>
      </c>
      <c r="S12" t="s">
        <v>327</v>
      </c>
      <c r="T12" t="s">
        <v>940</v>
      </c>
    </row>
    <row r="13" spans="1:21">
      <c r="A13">
        <v>9</v>
      </c>
      <c r="B13">
        <v>369</v>
      </c>
      <c r="C13" t="s">
        <v>115</v>
      </c>
      <c r="D13" t="s">
        <v>1077</v>
      </c>
      <c r="E13">
        <v>1987</v>
      </c>
      <c r="F13" t="s">
        <v>19</v>
      </c>
      <c r="G13" t="s">
        <v>116</v>
      </c>
      <c r="H13" t="s">
        <v>61</v>
      </c>
      <c r="S13" t="s">
        <v>654</v>
      </c>
      <c r="T13" t="s">
        <v>962</v>
      </c>
    </row>
    <row r="14" spans="1:21">
      <c r="A14">
        <v>4</v>
      </c>
      <c r="B14">
        <v>364</v>
      </c>
      <c r="C14" t="s">
        <v>106</v>
      </c>
      <c r="D14" t="s">
        <v>1084</v>
      </c>
      <c r="E14">
        <v>1984</v>
      </c>
      <c r="F14" t="s">
        <v>30</v>
      </c>
      <c r="G14" t="s">
        <v>107</v>
      </c>
      <c r="H14" t="s">
        <v>100</v>
      </c>
      <c r="S14" t="s">
        <v>327</v>
      </c>
      <c r="T14" t="s">
        <v>1024</v>
      </c>
    </row>
    <row r="15" spans="1:21">
      <c r="A15">
        <v>2</v>
      </c>
      <c r="B15">
        <v>362</v>
      </c>
      <c r="C15" t="s">
        <v>103</v>
      </c>
      <c r="D15" t="s">
        <v>1145</v>
      </c>
      <c r="E15">
        <v>1975</v>
      </c>
      <c r="F15" t="s">
        <v>21</v>
      </c>
      <c r="G15" t="s">
        <v>104</v>
      </c>
      <c r="H15" t="s">
        <v>20</v>
      </c>
    </row>
    <row r="16" spans="1:21">
      <c r="A16">
        <v>3</v>
      </c>
      <c r="B16">
        <v>363</v>
      </c>
      <c r="C16" t="s">
        <v>105</v>
      </c>
      <c r="D16" t="s">
        <v>1146</v>
      </c>
      <c r="E16">
        <v>1975</v>
      </c>
      <c r="F16" t="s">
        <v>21</v>
      </c>
      <c r="G16" t="s">
        <v>48</v>
      </c>
      <c r="H16" t="s">
        <v>100</v>
      </c>
    </row>
    <row r="17" spans="1:8">
      <c r="A17">
        <v>10</v>
      </c>
      <c r="B17">
        <v>370</v>
      </c>
      <c r="C17" t="s">
        <v>117</v>
      </c>
      <c r="D17" t="s">
        <v>1147</v>
      </c>
      <c r="E17">
        <v>1983</v>
      </c>
      <c r="F17" t="s">
        <v>19</v>
      </c>
      <c r="G17" t="s">
        <v>118</v>
      </c>
      <c r="H17" t="s">
        <v>71</v>
      </c>
    </row>
    <row r="18" spans="1:8">
      <c r="A18">
        <v>11</v>
      </c>
      <c r="B18">
        <v>371</v>
      </c>
      <c r="C18" t="s">
        <v>119</v>
      </c>
      <c r="D18" t="s">
        <v>1148</v>
      </c>
      <c r="E18">
        <v>1984</v>
      </c>
      <c r="F18" t="s">
        <v>19</v>
      </c>
      <c r="G18" t="s">
        <v>120</v>
      </c>
      <c r="H18" t="s">
        <v>121</v>
      </c>
    </row>
    <row r="19" spans="1:8">
      <c r="A19">
        <v>15</v>
      </c>
      <c r="B19">
        <v>375</v>
      </c>
      <c r="C19" t="s">
        <v>128</v>
      </c>
      <c r="D19" t="s">
        <v>1149</v>
      </c>
      <c r="E19">
        <v>1982</v>
      </c>
      <c r="F19" t="s">
        <v>19</v>
      </c>
      <c r="G19" t="s">
        <v>129</v>
      </c>
      <c r="H19" t="s">
        <v>27</v>
      </c>
    </row>
    <row r="20" spans="1:8">
      <c r="A20">
        <v>18</v>
      </c>
      <c r="B20">
        <v>378</v>
      </c>
      <c r="C20" t="s">
        <v>134</v>
      </c>
      <c r="D20" t="s">
        <v>1150</v>
      </c>
      <c r="E20">
        <v>1982</v>
      </c>
      <c r="F20" t="s">
        <v>21</v>
      </c>
      <c r="G20" t="s">
        <v>34</v>
      </c>
      <c r="H20" t="s">
        <v>27</v>
      </c>
    </row>
    <row r="21" spans="1:8">
      <c r="A21">
        <v>19</v>
      </c>
      <c r="B21">
        <v>379</v>
      </c>
      <c r="C21" t="s">
        <v>135</v>
      </c>
      <c r="D21" t="s">
        <v>1151</v>
      </c>
      <c r="E21">
        <v>1979</v>
      </c>
      <c r="F21" t="s">
        <v>21</v>
      </c>
      <c r="G21" t="s">
        <v>34</v>
      </c>
      <c r="H21" t="s">
        <v>27</v>
      </c>
    </row>
    <row r="22" spans="1:8">
      <c r="A22">
        <v>20</v>
      </c>
      <c r="B22">
        <v>380</v>
      </c>
      <c r="C22" t="s">
        <v>37</v>
      </c>
      <c r="D22" t="s">
        <v>1152</v>
      </c>
      <c r="E22">
        <v>1981</v>
      </c>
      <c r="F22" t="s">
        <v>21</v>
      </c>
      <c r="G22" t="s">
        <v>34</v>
      </c>
      <c r="H22" t="s">
        <v>27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U21"/>
  <sheetViews>
    <sheetView workbookViewId="0">
      <selection activeCell="D13" sqref="D13"/>
    </sheetView>
  </sheetViews>
  <sheetFormatPr defaultRowHeight="15"/>
  <cols>
    <col min="1" max="2" width="11.140625" bestFit="1" customWidth="1"/>
    <col min="3" max="3" width="21.7109375" bestFit="1" customWidth="1"/>
    <col min="4" max="4" width="23.7109375" bestFit="1" customWidth="1"/>
    <col min="5" max="6" width="11.140625" bestFit="1" customWidth="1"/>
    <col min="7" max="7" width="21.42578125" bestFit="1" customWidth="1"/>
    <col min="8" max="8" width="11.7109375" bestFit="1" customWidth="1"/>
    <col min="9" max="9" width="11.140625" bestFit="1" customWidth="1"/>
    <col min="10" max="18" width="12.140625" bestFit="1" customWidth="1"/>
    <col min="19" max="19" width="46" bestFit="1" customWidth="1"/>
    <col min="20" max="20" width="19.28515625" bestFit="1" customWidth="1"/>
    <col min="21" max="21" width="22.42578125" bestFit="1" customWidth="1"/>
  </cols>
  <sheetData>
    <row r="1" spans="1:21">
      <c r="A1" t="s">
        <v>660</v>
      </c>
      <c r="B1" t="s">
        <v>671</v>
      </c>
      <c r="C1" t="s">
        <v>672</v>
      </c>
      <c r="D1" t="s">
        <v>673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696</v>
      </c>
      <c r="P1" t="s">
        <v>697</v>
      </c>
      <c r="Q1" t="s">
        <v>698</v>
      </c>
      <c r="R1" t="s">
        <v>699</v>
      </c>
      <c r="S1" t="s">
        <v>1142</v>
      </c>
      <c r="T1" t="s">
        <v>1140</v>
      </c>
      <c r="U1" t="s">
        <v>1141</v>
      </c>
    </row>
    <row r="2" spans="1:21">
      <c r="A2">
        <v>4</v>
      </c>
      <c r="B2">
        <v>384</v>
      </c>
      <c r="C2" t="s">
        <v>141</v>
      </c>
      <c r="D2" t="s">
        <v>1102</v>
      </c>
      <c r="E2">
        <v>1979</v>
      </c>
      <c r="F2" t="s">
        <v>21</v>
      </c>
      <c r="G2" t="s">
        <v>70</v>
      </c>
      <c r="H2" t="s">
        <v>71</v>
      </c>
      <c r="S2" t="s">
        <v>430</v>
      </c>
      <c r="T2" t="s">
        <v>433</v>
      </c>
      <c r="U2" t="s">
        <v>436</v>
      </c>
    </row>
    <row r="3" spans="1:21">
      <c r="A3">
        <v>18</v>
      </c>
      <c r="B3">
        <v>398</v>
      </c>
      <c r="C3" t="s">
        <v>167</v>
      </c>
      <c r="D3" t="s">
        <v>1105</v>
      </c>
      <c r="E3">
        <v>1976</v>
      </c>
      <c r="F3" t="s">
        <v>21</v>
      </c>
      <c r="G3" t="s">
        <v>168</v>
      </c>
      <c r="H3" t="s">
        <v>81</v>
      </c>
      <c r="S3" t="s">
        <v>315</v>
      </c>
      <c r="T3" t="s">
        <v>460</v>
      </c>
    </row>
    <row r="4" spans="1:21">
      <c r="A4">
        <v>14</v>
      </c>
      <c r="B4">
        <v>394</v>
      </c>
      <c r="C4" t="s">
        <v>161</v>
      </c>
      <c r="D4" t="s">
        <v>1106</v>
      </c>
      <c r="E4">
        <v>1975</v>
      </c>
      <c r="F4" t="s">
        <v>21</v>
      </c>
      <c r="G4" t="s">
        <v>75</v>
      </c>
      <c r="H4" t="s">
        <v>76</v>
      </c>
      <c r="S4" t="s">
        <v>315</v>
      </c>
      <c r="T4" t="s">
        <v>592</v>
      </c>
    </row>
    <row r="5" spans="1:21">
      <c r="A5">
        <v>13</v>
      </c>
      <c r="B5">
        <v>393</v>
      </c>
      <c r="C5" t="s">
        <v>159</v>
      </c>
      <c r="D5" t="s">
        <v>1107</v>
      </c>
      <c r="E5">
        <v>1977</v>
      </c>
      <c r="F5" t="s">
        <v>21</v>
      </c>
      <c r="G5" t="s">
        <v>160</v>
      </c>
      <c r="H5" t="s">
        <v>76</v>
      </c>
      <c r="S5" t="s">
        <v>315</v>
      </c>
      <c r="T5" t="s">
        <v>465</v>
      </c>
    </row>
    <row r="6" spans="1:21">
      <c r="A6">
        <v>15</v>
      </c>
      <c r="B6">
        <v>395</v>
      </c>
      <c r="C6" t="s">
        <v>162</v>
      </c>
      <c r="D6" t="s">
        <v>1108</v>
      </c>
      <c r="E6">
        <v>1975</v>
      </c>
      <c r="F6" t="s">
        <v>21</v>
      </c>
      <c r="G6" t="s">
        <v>78</v>
      </c>
      <c r="H6" t="s">
        <v>76</v>
      </c>
      <c r="S6" t="s">
        <v>634</v>
      </c>
      <c r="T6" t="s">
        <v>637</v>
      </c>
    </row>
    <row r="7" spans="1:21">
      <c r="A7">
        <v>1</v>
      </c>
      <c r="B7">
        <v>381</v>
      </c>
      <c r="C7" t="s">
        <v>136</v>
      </c>
      <c r="D7" t="s">
        <v>1109</v>
      </c>
      <c r="E7">
        <v>1979</v>
      </c>
      <c r="F7" t="s">
        <v>21</v>
      </c>
      <c r="G7" t="s">
        <v>26</v>
      </c>
      <c r="H7" t="s">
        <v>61</v>
      </c>
      <c r="S7" t="s">
        <v>315</v>
      </c>
      <c r="T7" t="s">
        <v>614</v>
      </c>
    </row>
    <row r="8" spans="1:21">
      <c r="A8">
        <v>9</v>
      </c>
      <c r="B8">
        <v>389</v>
      </c>
      <c r="C8" t="s">
        <v>152</v>
      </c>
      <c r="D8" t="s">
        <v>1110</v>
      </c>
      <c r="E8">
        <v>1976</v>
      </c>
      <c r="F8" t="s">
        <v>30</v>
      </c>
      <c r="G8" t="s">
        <v>153</v>
      </c>
      <c r="H8" t="s">
        <v>76</v>
      </c>
      <c r="S8" t="s">
        <v>327</v>
      </c>
      <c r="T8" t="s">
        <v>619</v>
      </c>
    </row>
    <row r="9" spans="1:21">
      <c r="A9">
        <v>5</v>
      </c>
      <c r="B9">
        <v>385</v>
      </c>
      <c r="C9" t="s">
        <v>142</v>
      </c>
      <c r="D9" t="s">
        <v>1111</v>
      </c>
      <c r="E9">
        <v>1977</v>
      </c>
      <c r="F9" t="s">
        <v>21</v>
      </c>
      <c r="G9" t="s">
        <v>143</v>
      </c>
      <c r="H9" t="s">
        <v>121</v>
      </c>
      <c r="S9" t="s">
        <v>315</v>
      </c>
      <c r="T9" t="s">
        <v>548</v>
      </c>
    </row>
    <row r="10" spans="1:21">
      <c r="A10">
        <v>8</v>
      </c>
      <c r="B10">
        <v>388</v>
      </c>
      <c r="C10" t="s">
        <v>150</v>
      </c>
      <c r="D10" t="s">
        <v>1113</v>
      </c>
      <c r="E10">
        <v>1977</v>
      </c>
      <c r="F10" t="s">
        <v>30</v>
      </c>
      <c r="G10" t="s">
        <v>151</v>
      </c>
      <c r="H10" t="s">
        <v>81</v>
      </c>
      <c r="S10" t="s">
        <v>327</v>
      </c>
      <c r="T10" t="s">
        <v>366</v>
      </c>
    </row>
    <row r="11" spans="1:21">
      <c r="A11">
        <v>11</v>
      </c>
      <c r="B11">
        <v>391</v>
      </c>
      <c r="C11" t="s">
        <v>155</v>
      </c>
      <c r="D11" t="s">
        <v>1114</v>
      </c>
      <c r="E11">
        <v>1978</v>
      </c>
      <c r="F11" t="s">
        <v>21</v>
      </c>
      <c r="G11" t="s">
        <v>156</v>
      </c>
      <c r="H11" t="s">
        <v>157</v>
      </c>
      <c r="S11" t="s">
        <v>315</v>
      </c>
      <c r="T11" t="s">
        <v>724</v>
      </c>
    </row>
    <row r="12" spans="1:21">
      <c r="A12">
        <v>17</v>
      </c>
      <c r="B12">
        <v>16</v>
      </c>
      <c r="C12" t="s">
        <v>164</v>
      </c>
      <c r="D12" t="s">
        <v>1057</v>
      </c>
      <c r="E12">
        <v>1979</v>
      </c>
      <c r="F12" t="s">
        <v>21</v>
      </c>
      <c r="G12" t="s">
        <v>165</v>
      </c>
      <c r="H12" t="s">
        <v>166</v>
      </c>
      <c r="S12" t="s">
        <v>394</v>
      </c>
      <c r="T12" t="s">
        <v>830</v>
      </c>
    </row>
    <row r="13" spans="1:21">
      <c r="A13">
        <v>6</v>
      </c>
      <c r="B13">
        <v>386</v>
      </c>
      <c r="C13" t="s">
        <v>144</v>
      </c>
      <c r="D13" t="s">
        <v>1065</v>
      </c>
      <c r="E13">
        <v>1996</v>
      </c>
      <c r="F13" t="s">
        <v>19</v>
      </c>
      <c r="G13" t="s">
        <v>145</v>
      </c>
      <c r="H13" t="s">
        <v>146</v>
      </c>
      <c r="S13" t="s">
        <v>315</v>
      </c>
      <c r="T13" t="s">
        <v>889</v>
      </c>
    </row>
    <row r="14" spans="1:21">
      <c r="A14">
        <v>20</v>
      </c>
      <c r="B14">
        <v>400</v>
      </c>
      <c r="C14" t="s">
        <v>170</v>
      </c>
      <c r="D14" t="s">
        <v>1079</v>
      </c>
      <c r="E14">
        <v>1978</v>
      </c>
      <c r="F14" t="s">
        <v>21</v>
      </c>
      <c r="G14" t="s">
        <v>171</v>
      </c>
      <c r="H14" t="s">
        <v>81</v>
      </c>
      <c r="S14" t="s">
        <v>315</v>
      </c>
      <c r="T14" t="s">
        <v>977</v>
      </c>
    </row>
    <row r="15" spans="1:21">
      <c r="A15">
        <v>12</v>
      </c>
      <c r="B15">
        <v>392</v>
      </c>
      <c r="C15" t="s">
        <v>158</v>
      </c>
      <c r="D15" t="s">
        <v>1086</v>
      </c>
      <c r="E15">
        <v>1976</v>
      </c>
      <c r="F15" t="s">
        <v>21</v>
      </c>
      <c r="G15" t="s">
        <v>156</v>
      </c>
      <c r="H15" t="s">
        <v>157</v>
      </c>
      <c r="S15" t="s">
        <v>315</v>
      </c>
      <c r="T15" t="s">
        <v>1034</v>
      </c>
    </row>
    <row r="16" spans="1:21">
      <c r="A16">
        <v>7</v>
      </c>
      <c r="B16">
        <v>387</v>
      </c>
      <c r="C16" t="s">
        <v>147</v>
      </c>
      <c r="D16" t="s">
        <v>1087</v>
      </c>
      <c r="E16">
        <v>1979</v>
      </c>
      <c r="F16" t="s">
        <v>30</v>
      </c>
      <c r="G16" t="s">
        <v>148</v>
      </c>
      <c r="H16" t="s">
        <v>149</v>
      </c>
      <c r="S16" t="s">
        <v>327</v>
      </c>
      <c r="T16" t="s">
        <v>1041</v>
      </c>
    </row>
    <row r="17" spans="1:8">
      <c r="A17">
        <v>2</v>
      </c>
      <c r="B17">
        <v>382</v>
      </c>
      <c r="C17" t="s">
        <v>137</v>
      </c>
      <c r="D17" t="s">
        <v>1154</v>
      </c>
      <c r="E17">
        <v>1983</v>
      </c>
      <c r="F17" t="s">
        <v>19</v>
      </c>
      <c r="G17" t="s">
        <v>138</v>
      </c>
      <c r="H17" t="s">
        <v>39</v>
      </c>
    </row>
    <row r="18" spans="1:8">
      <c r="A18">
        <v>3</v>
      </c>
      <c r="B18">
        <v>383</v>
      </c>
      <c r="C18" t="s">
        <v>139</v>
      </c>
      <c r="D18" t="s">
        <v>1155</v>
      </c>
      <c r="E18">
        <v>1984</v>
      </c>
      <c r="F18" t="s">
        <v>21</v>
      </c>
      <c r="G18" t="s">
        <v>140</v>
      </c>
      <c r="H18" t="s">
        <v>61</v>
      </c>
    </row>
    <row r="19" spans="1:8">
      <c r="A19">
        <v>10</v>
      </c>
      <c r="B19">
        <v>390</v>
      </c>
      <c r="C19" t="s">
        <v>154</v>
      </c>
      <c r="D19" t="s">
        <v>1156</v>
      </c>
      <c r="E19">
        <v>1975</v>
      </c>
      <c r="F19" t="s">
        <v>30</v>
      </c>
      <c r="G19" t="s">
        <v>148</v>
      </c>
      <c r="H19" t="s">
        <v>149</v>
      </c>
    </row>
    <row r="20" spans="1:8">
      <c r="A20">
        <v>16</v>
      </c>
      <c r="B20">
        <v>739</v>
      </c>
      <c r="C20" t="s">
        <v>163</v>
      </c>
      <c r="D20" t="s">
        <v>1157</v>
      </c>
      <c r="E20">
        <v>1987</v>
      </c>
      <c r="F20" t="s">
        <v>30</v>
      </c>
      <c r="G20" t="s">
        <v>31</v>
      </c>
      <c r="H20" t="s">
        <v>32</v>
      </c>
    </row>
    <row r="21" spans="1:8">
      <c r="A21">
        <v>19</v>
      </c>
      <c r="B21">
        <v>399</v>
      </c>
      <c r="C21" t="s">
        <v>169</v>
      </c>
      <c r="D21" t="s">
        <v>1158</v>
      </c>
      <c r="E21">
        <v>1975</v>
      </c>
      <c r="F21" t="s">
        <v>21</v>
      </c>
      <c r="G21" t="s">
        <v>80</v>
      </c>
      <c r="H21" t="s">
        <v>81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U22"/>
  <sheetViews>
    <sheetView workbookViewId="0">
      <selection activeCell="D13" sqref="D13"/>
    </sheetView>
  </sheetViews>
  <sheetFormatPr defaultRowHeight="15"/>
  <cols>
    <col min="1" max="2" width="11.140625" bestFit="1" customWidth="1"/>
    <col min="3" max="3" width="21.7109375" bestFit="1" customWidth="1"/>
    <col min="4" max="4" width="23.7109375" bestFit="1" customWidth="1"/>
    <col min="5" max="6" width="11.140625" bestFit="1" customWidth="1"/>
    <col min="7" max="7" width="21.5703125" bestFit="1" customWidth="1"/>
    <col min="8" max="8" width="11.28515625" bestFit="1" customWidth="1"/>
    <col min="9" max="9" width="11.140625" bestFit="1" customWidth="1"/>
    <col min="10" max="18" width="12.140625" bestFit="1" customWidth="1"/>
    <col min="19" max="19" width="46" bestFit="1" customWidth="1"/>
    <col min="20" max="20" width="19.28515625" bestFit="1" customWidth="1"/>
    <col min="21" max="21" width="22.42578125" bestFit="1" customWidth="1"/>
  </cols>
  <sheetData>
    <row r="1" spans="1:21">
      <c r="A1" t="s">
        <v>660</v>
      </c>
      <c r="B1" t="s">
        <v>671</v>
      </c>
      <c r="C1" t="s">
        <v>672</v>
      </c>
      <c r="D1" t="s">
        <v>673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696</v>
      </c>
      <c r="P1" t="s">
        <v>697</v>
      </c>
      <c r="Q1" t="s">
        <v>698</v>
      </c>
      <c r="R1" t="s">
        <v>699</v>
      </c>
      <c r="S1" t="s">
        <v>1142</v>
      </c>
      <c r="T1" t="s">
        <v>1140</v>
      </c>
      <c r="U1" t="s">
        <v>1141</v>
      </c>
    </row>
    <row r="2" spans="1:21">
      <c r="A2">
        <v>12</v>
      </c>
      <c r="B2">
        <v>412</v>
      </c>
      <c r="C2" t="s">
        <v>189</v>
      </c>
      <c r="D2" t="s">
        <v>1115</v>
      </c>
      <c r="E2">
        <v>1974</v>
      </c>
      <c r="F2" t="s">
        <v>21</v>
      </c>
      <c r="G2" t="s">
        <v>41</v>
      </c>
      <c r="H2" t="s">
        <v>20</v>
      </c>
      <c r="S2" t="s">
        <v>315</v>
      </c>
      <c r="T2" t="s">
        <v>386</v>
      </c>
    </row>
    <row r="3" spans="1:21">
      <c r="A3">
        <v>9</v>
      </c>
      <c r="B3">
        <v>409</v>
      </c>
      <c r="C3" t="s">
        <v>183</v>
      </c>
      <c r="D3" t="s">
        <v>1116</v>
      </c>
      <c r="E3">
        <v>1977</v>
      </c>
      <c r="F3" t="s">
        <v>21</v>
      </c>
      <c r="G3" t="s">
        <v>184</v>
      </c>
      <c r="H3" t="s">
        <v>20</v>
      </c>
      <c r="S3" t="s">
        <v>315</v>
      </c>
      <c r="T3" t="s">
        <v>416</v>
      </c>
    </row>
    <row r="4" spans="1:21">
      <c r="A4">
        <v>1</v>
      </c>
      <c r="B4">
        <v>401</v>
      </c>
      <c r="C4" t="s">
        <v>172</v>
      </c>
      <c r="D4" t="s">
        <v>1117</v>
      </c>
      <c r="E4">
        <v>1975</v>
      </c>
      <c r="F4" t="s">
        <v>21</v>
      </c>
      <c r="G4" t="s">
        <v>86</v>
      </c>
      <c r="H4" t="s">
        <v>81</v>
      </c>
      <c r="S4" t="s">
        <v>315</v>
      </c>
      <c r="T4" t="s">
        <v>609</v>
      </c>
    </row>
    <row r="5" spans="1:21">
      <c r="A5">
        <v>16</v>
      </c>
      <c r="B5">
        <v>416</v>
      </c>
      <c r="C5" t="s">
        <v>194</v>
      </c>
      <c r="D5" t="s">
        <v>1118</v>
      </c>
      <c r="E5">
        <v>1976</v>
      </c>
      <c r="F5" t="s">
        <v>30</v>
      </c>
      <c r="G5" t="s">
        <v>107</v>
      </c>
      <c r="H5" t="s">
        <v>100</v>
      </c>
      <c r="S5" t="s">
        <v>394</v>
      </c>
      <c r="T5" t="s">
        <v>528</v>
      </c>
    </row>
    <row r="6" spans="1:21">
      <c r="A6">
        <v>6</v>
      </c>
      <c r="B6">
        <v>406</v>
      </c>
      <c r="C6" t="s">
        <v>180</v>
      </c>
      <c r="D6" t="s">
        <v>1047</v>
      </c>
      <c r="E6">
        <v>1979</v>
      </c>
      <c r="F6" t="s">
        <v>21</v>
      </c>
      <c r="G6" t="s">
        <v>42</v>
      </c>
      <c r="H6" t="s">
        <v>97</v>
      </c>
      <c r="S6" t="s">
        <v>315</v>
      </c>
      <c r="T6" t="s">
        <v>753</v>
      </c>
    </row>
    <row r="7" spans="1:21">
      <c r="A7">
        <v>5</v>
      </c>
      <c r="B7">
        <v>405</v>
      </c>
      <c r="C7" t="s">
        <v>178</v>
      </c>
      <c r="D7" t="s">
        <v>1051</v>
      </c>
      <c r="E7">
        <v>1979</v>
      </c>
      <c r="F7" t="s">
        <v>21</v>
      </c>
      <c r="G7" t="s">
        <v>179</v>
      </c>
      <c r="H7" t="s">
        <v>29</v>
      </c>
      <c r="S7" t="s">
        <v>315</v>
      </c>
      <c r="T7" t="s">
        <v>784</v>
      </c>
    </row>
    <row r="8" spans="1:21">
      <c r="A8">
        <v>15</v>
      </c>
      <c r="B8">
        <v>415</v>
      </c>
      <c r="C8" t="s">
        <v>193</v>
      </c>
      <c r="D8" t="s">
        <v>1053</v>
      </c>
      <c r="E8">
        <v>1977</v>
      </c>
      <c r="F8" t="s">
        <v>30</v>
      </c>
      <c r="G8" t="s">
        <v>107</v>
      </c>
      <c r="H8" t="s">
        <v>100</v>
      </c>
      <c r="S8" t="s">
        <v>654</v>
      </c>
      <c r="T8" t="s">
        <v>796</v>
      </c>
    </row>
    <row r="9" spans="1:21">
      <c r="A9">
        <v>15</v>
      </c>
      <c r="B9">
        <v>415</v>
      </c>
      <c r="C9" t="s">
        <v>193</v>
      </c>
      <c r="D9" t="s">
        <v>1053</v>
      </c>
      <c r="E9">
        <v>1977</v>
      </c>
      <c r="F9" t="s">
        <v>30</v>
      </c>
      <c r="G9" t="s">
        <v>107</v>
      </c>
      <c r="H9" t="s">
        <v>100</v>
      </c>
      <c r="S9" t="s">
        <v>327</v>
      </c>
      <c r="T9" t="s">
        <v>801</v>
      </c>
    </row>
    <row r="10" spans="1:21">
      <c r="A10">
        <v>19</v>
      </c>
      <c r="B10">
        <v>419</v>
      </c>
      <c r="C10" t="s">
        <v>199</v>
      </c>
      <c r="D10" t="s">
        <v>1060</v>
      </c>
      <c r="E10">
        <v>1980</v>
      </c>
      <c r="F10" t="s">
        <v>19</v>
      </c>
      <c r="G10" t="s">
        <v>200</v>
      </c>
      <c r="H10" t="s">
        <v>91</v>
      </c>
      <c r="S10" t="s">
        <v>654</v>
      </c>
      <c r="T10" t="s">
        <v>852</v>
      </c>
    </row>
    <row r="11" spans="1:21">
      <c r="A11">
        <v>7</v>
      </c>
      <c r="B11">
        <v>407</v>
      </c>
      <c r="C11" t="s">
        <v>181</v>
      </c>
      <c r="D11" t="s">
        <v>1064</v>
      </c>
      <c r="E11">
        <v>1978</v>
      </c>
      <c r="F11" t="s">
        <v>21</v>
      </c>
      <c r="G11" t="s">
        <v>43</v>
      </c>
      <c r="H11" t="s">
        <v>20</v>
      </c>
      <c r="S11" t="s">
        <v>315</v>
      </c>
      <c r="T11" t="s">
        <v>878</v>
      </c>
    </row>
    <row r="12" spans="1:21">
      <c r="A12">
        <v>3</v>
      </c>
      <c r="B12">
        <v>403</v>
      </c>
      <c r="C12" t="s">
        <v>175</v>
      </c>
      <c r="D12" t="s">
        <v>1065</v>
      </c>
      <c r="E12">
        <v>1994</v>
      </c>
      <c r="F12" t="s">
        <v>21</v>
      </c>
      <c r="G12" t="s">
        <v>48</v>
      </c>
      <c r="H12" t="s">
        <v>100</v>
      </c>
      <c r="S12" t="s">
        <v>315</v>
      </c>
      <c r="T12" t="s">
        <v>889</v>
      </c>
    </row>
    <row r="13" spans="1:21">
      <c r="A13">
        <v>17</v>
      </c>
      <c r="B13">
        <v>417</v>
      </c>
      <c r="C13" t="s">
        <v>195</v>
      </c>
      <c r="D13" t="s">
        <v>1072</v>
      </c>
      <c r="E13">
        <v>1996</v>
      </c>
      <c r="F13" t="s">
        <v>19</v>
      </c>
      <c r="G13" t="s">
        <v>196</v>
      </c>
      <c r="H13" t="s">
        <v>91</v>
      </c>
      <c r="S13" t="s">
        <v>654</v>
      </c>
      <c r="T13" t="s">
        <v>931</v>
      </c>
    </row>
    <row r="14" spans="1:21">
      <c r="A14">
        <v>13</v>
      </c>
      <c r="B14">
        <v>413</v>
      </c>
      <c r="C14" t="s">
        <v>190</v>
      </c>
      <c r="D14" t="s">
        <v>1085</v>
      </c>
      <c r="E14">
        <v>1989</v>
      </c>
      <c r="F14" t="s">
        <v>30</v>
      </c>
      <c r="G14" t="s">
        <v>191</v>
      </c>
      <c r="H14" t="s">
        <v>20</v>
      </c>
      <c r="S14" t="s">
        <v>327</v>
      </c>
      <c r="T14" t="s">
        <v>1030</v>
      </c>
    </row>
    <row r="15" spans="1:21">
      <c r="A15">
        <v>2</v>
      </c>
      <c r="B15">
        <v>402</v>
      </c>
      <c r="C15" t="s">
        <v>173</v>
      </c>
      <c r="D15" t="s">
        <v>1159</v>
      </c>
      <c r="E15">
        <v>1976</v>
      </c>
      <c r="F15" t="s">
        <v>21</v>
      </c>
      <c r="G15" t="s">
        <v>86</v>
      </c>
      <c r="H15" t="s">
        <v>174</v>
      </c>
    </row>
    <row r="16" spans="1:21">
      <c r="A16">
        <v>4</v>
      </c>
      <c r="B16">
        <v>404</v>
      </c>
      <c r="C16" t="s">
        <v>176</v>
      </c>
      <c r="D16" t="s">
        <v>1160</v>
      </c>
      <c r="E16">
        <v>1979</v>
      </c>
      <c r="F16" t="s">
        <v>21</v>
      </c>
      <c r="G16" t="s">
        <v>177</v>
      </c>
      <c r="H16" t="s">
        <v>20</v>
      </c>
    </row>
    <row r="17" spans="1:8">
      <c r="A17">
        <v>8</v>
      </c>
      <c r="B17">
        <v>408</v>
      </c>
      <c r="C17" t="s">
        <v>182</v>
      </c>
      <c r="D17" t="s">
        <v>1161</v>
      </c>
      <c r="E17">
        <v>1974</v>
      </c>
      <c r="F17" t="s">
        <v>21</v>
      </c>
      <c r="G17" t="s">
        <v>25</v>
      </c>
      <c r="H17" t="s">
        <v>59</v>
      </c>
    </row>
    <row r="18" spans="1:8">
      <c r="A18">
        <v>10</v>
      </c>
      <c r="B18">
        <v>410</v>
      </c>
      <c r="C18" t="s">
        <v>185</v>
      </c>
      <c r="D18" t="s">
        <v>1162</v>
      </c>
      <c r="E18">
        <v>1976</v>
      </c>
      <c r="F18" t="s">
        <v>21</v>
      </c>
      <c r="G18" t="s">
        <v>186</v>
      </c>
      <c r="H18" t="s">
        <v>187</v>
      </c>
    </row>
    <row r="19" spans="1:8">
      <c r="A19">
        <v>11</v>
      </c>
      <c r="B19">
        <v>411</v>
      </c>
      <c r="C19" t="s">
        <v>188</v>
      </c>
      <c r="D19" t="s">
        <v>1163</v>
      </c>
      <c r="E19">
        <v>1975</v>
      </c>
      <c r="F19" t="s">
        <v>21</v>
      </c>
      <c r="G19" t="s">
        <v>23</v>
      </c>
      <c r="H19" t="s">
        <v>20</v>
      </c>
    </row>
    <row r="20" spans="1:8">
      <c r="A20">
        <v>14</v>
      </c>
      <c r="B20">
        <v>414</v>
      </c>
      <c r="C20" t="s">
        <v>192</v>
      </c>
      <c r="D20" t="s">
        <v>1164</v>
      </c>
      <c r="E20">
        <v>1978</v>
      </c>
      <c r="F20" t="s">
        <v>30</v>
      </c>
      <c r="G20" t="s">
        <v>191</v>
      </c>
      <c r="H20" t="s">
        <v>20</v>
      </c>
    </row>
    <row r="21" spans="1:8">
      <c r="A21">
        <v>18</v>
      </c>
      <c r="B21">
        <v>418</v>
      </c>
      <c r="C21" t="s">
        <v>197</v>
      </c>
      <c r="D21" t="s">
        <v>1165</v>
      </c>
      <c r="E21">
        <v>1993</v>
      </c>
      <c r="F21" t="s">
        <v>19</v>
      </c>
      <c r="G21" t="s">
        <v>198</v>
      </c>
      <c r="H21" t="s">
        <v>100</v>
      </c>
    </row>
    <row r="22" spans="1:8">
      <c r="A22">
        <v>20</v>
      </c>
      <c r="B22">
        <v>420</v>
      </c>
      <c r="C22" t="s">
        <v>201</v>
      </c>
      <c r="D22" t="s">
        <v>1166</v>
      </c>
      <c r="E22">
        <v>1979</v>
      </c>
      <c r="F22" t="s">
        <v>19</v>
      </c>
      <c r="G22" t="s">
        <v>196</v>
      </c>
      <c r="H22" t="s">
        <v>91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U22"/>
  <sheetViews>
    <sheetView workbookViewId="0">
      <selection activeCell="D13" sqref="D13"/>
    </sheetView>
  </sheetViews>
  <sheetFormatPr defaultRowHeight="15"/>
  <cols>
    <col min="1" max="2" width="11.140625" bestFit="1" customWidth="1"/>
    <col min="3" max="3" width="21.5703125" bestFit="1" customWidth="1"/>
    <col min="4" max="4" width="24" bestFit="1" customWidth="1"/>
    <col min="5" max="6" width="11.140625" bestFit="1" customWidth="1"/>
    <col min="7" max="7" width="19.42578125" bestFit="1" customWidth="1"/>
    <col min="8" max="8" width="11.7109375" bestFit="1" customWidth="1"/>
    <col min="9" max="9" width="11.140625" bestFit="1" customWidth="1"/>
    <col min="10" max="18" width="12.140625" bestFit="1" customWidth="1"/>
    <col min="19" max="19" width="46" bestFit="1" customWidth="1"/>
    <col min="20" max="20" width="19.28515625" bestFit="1" customWidth="1"/>
    <col min="21" max="21" width="22.42578125" bestFit="1" customWidth="1"/>
  </cols>
  <sheetData>
    <row r="1" spans="1:21">
      <c r="A1" t="s">
        <v>660</v>
      </c>
      <c r="B1" t="s">
        <v>671</v>
      </c>
      <c r="C1" t="s">
        <v>672</v>
      </c>
      <c r="D1" t="s">
        <v>673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696</v>
      </c>
      <c r="P1" t="s">
        <v>697</v>
      </c>
      <c r="Q1" t="s">
        <v>698</v>
      </c>
      <c r="R1" t="s">
        <v>699</v>
      </c>
      <c r="S1" t="s">
        <v>1142</v>
      </c>
      <c r="T1" t="s">
        <v>1140</v>
      </c>
      <c r="U1" t="s">
        <v>1141</v>
      </c>
    </row>
    <row r="2" spans="1:21">
      <c r="A2">
        <v>8</v>
      </c>
      <c r="B2">
        <v>428</v>
      </c>
      <c r="C2" t="s">
        <v>194</v>
      </c>
      <c r="D2" t="s">
        <v>1118</v>
      </c>
      <c r="E2">
        <v>1994</v>
      </c>
      <c r="F2" t="s">
        <v>21</v>
      </c>
      <c r="G2" t="s">
        <v>177</v>
      </c>
      <c r="H2" t="s">
        <v>20</v>
      </c>
      <c r="S2" t="s">
        <v>394</v>
      </c>
      <c r="T2" t="s">
        <v>528</v>
      </c>
    </row>
    <row r="3" spans="1:21">
      <c r="A3">
        <v>9</v>
      </c>
      <c r="B3">
        <v>429</v>
      </c>
      <c r="C3" t="s">
        <v>40</v>
      </c>
      <c r="D3" t="s">
        <v>1120</v>
      </c>
      <c r="E3">
        <v>1976</v>
      </c>
      <c r="F3" t="s">
        <v>30</v>
      </c>
      <c r="G3" t="s">
        <v>46</v>
      </c>
      <c r="H3" t="s">
        <v>59</v>
      </c>
      <c r="S3" t="s">
        <v>327</v>
      </c>
      <c r="T3" t="s">
        <v>498</v>
      </c>
    </row>
    <row r="4" spans="1:21">
      <c r="A4">
        <v>20</v>
      </c>
      <c r="B4">
        <v>440</v>
      </c>
      <c r="C4" t="s">
        <v>233</v>
      </c>
      <c r="D4" t="s">
        <v>1121</v>
      </c>
      <c r="E4">
        <v>1980</v>
      </c>
      <c r="F4" t="s">
        <v>19</v>
      </c>
      <c r="G4" t="s">
        <v>234</v>
      </c>
      <c r="H4" t="s">
        <v>121</v>
      </c>
      <c r="S4" t="s">
        <v>377</v>
      </c>
      <c r="T4" t="s">
        <v>523</v>
      </c>
    </row>
    <row r="5" spans="1:21">
      <c r="A5">
        <v>1</v>
      </c>
      <c r="B5">
        <v>421</v>
      </c>
      <c r="C5" t="s">
        <v>202</v>
      </c>
      <c r="D5" t="s">
        <v>1122</v>
      </c>
      <c r="E5">
        <v>1978</v>
      </c>
      <c r="F5" t="s">
        <v>19</v>
      </c>
      <c r="G5" t="s">
        <v>203</v>
      </c>
      <c r="H5" t="s">
        <v>59</v>
      </c>
      <c r="S5" t="s">
        <v>654</v>
      </c>
      <c r="T5" t="s">
        <v>727</v>
      </c>
    </row>
    <row r="6" spans="1:21">
      <c r="A6">
        <v>7</v>
      </c>
      <c r="B6">
        <v>427</v>
      </c>
      <c r="C6" t="s">
        <v>214</v>
      </c>
      <c r="D6" t="s">
        <v>1123</v>
      </c>
      <c r="E6">
        <v>1996</v>
      </c>
      <c r="F6" t="s">
        <v>21</v>
      </c>
      <c r="G6" t="s">
        <v>215</v>
      </c>
      <c r="H6" t="s">
        <v>20</v>
      </c>
      <c r="S6" t="s">
        <v>394</v>
      </c>
      <c r="T6" t="s">
        <v>728</v>
      </c>
    </row>
    <row r="7" spans="1:21">
      <c r="A7">
        <v>4</v>
      </c>
      <c r="B7">
        <v>424</v>
      </c>
      <c r="C7" t="s">
        <v>208</v>
      </c>
      <c r="D7" t="s">
        <v>1045</v>
      </c>
      <c r="E7">
        <v>1977</v>
      </c>
      <c r="F7" t="s">
        <v>19</v>
      </c>
      <c r="G7" t="s">
        <v>209</v>
      </c>
      <c r="H7" t="s">
        <v>210</v>
      </c>
      <c r="S7" t="s">
        <v>734</v>
      </c>
      <c r="T7" t="s">
        <v>738</v>
      </c>
    </row>
    <row r="8" spans="1:21">
      <c r="A8">
        <v>3</v>
      </c>
      <c r="B8">
        <v>423</v>
      </c>
      <c r="C8" t="s">
        <v>206</v>
      </c>
      <c r="D8" t="s">
        <v>1061</v>
      </c>
      <c r="E8">
        <v>1977</v>
      </c>
      <c r="F8" t="s">
        <v>19</v>
      </c>
      <c r="G8" t="s">
        <v>207</v>
      </c>
      <c r="H8" t="s">
        <v>187</v>
      </c>
      <c r="S8" t="s">
        <v>377</v>
      </c>
      <c r="T8" t="s">
        <v>858</v>
      </c>
    </row>
    <row r="9" spans="1:21">
      <c r="A9">
        <v>12</v>
      </c>
      <c r="B9">
        <v>432</v>
      </c>
      <c r="C9" t="s">
        <v>218</v>
      </c>
      <c r="D9" t="s">
        <v>1063</v>
      </c>
      <c r="E9">
        <v>1982</v>
      </c>
      <c r="F9" t="s">
        <v>19</v>
      </c>
      <c r="G9" t="s">
        <v>219</v>
      </c>
      <c r="H9" t="s">
        <v>121</v>
      </c>
      <c r="S9" t="s">
        <v>654</v>
      </c>
      <c r="T9" t="s">
        <v>872</v>
      </c>
    </row>
    <row r="10" spans="1:21">
      <c r="A10">
        <v>12</v>
      </c>
      <c r="B10">
        <v>432</v>
      </c>
      <c r="C10" t="s">
        <v>218</v>
      </c>
      <c r="D10" t="s">
        <v>1063</v>
      </c>
      <c r="E10">
        <v>1982</v>
      </c>
      <c r="F10" t="s">
        <v>19</v>
      </c>
      <c r="G10" t="s">
        <v>219</v>
      </c>
      <c r="H10" t="s">
        <v>121</v>
      </c>
      <c r="S10" t="s">
        <v>377</v>
      </c>
      <c r="T10" t="s">
        <v>883</v>
      </c>
    </row>
    <row r="11" spans="1:21">
      <c r="A11">
        <v>2</v>
      </c>
      <c r="B11">
        <v>422</v>
      </c>
      <c r="C11" t="s">
        <v>204</v>
      </c>
      <c r="D11" t="s">
        <v>1167</v>
      </c>
      <c r="E11">
        <v>1977</v>
      </c>
      <c r="F11" t="s">
        <v>19</v>
      </c>
      <c r="G11" t="s">
        <v>205</v>
      </c>
      <c r="H11" t="s">
        <v>20</v>
      </c>
    </row>
    <row r="12" spans="1:21">
      <c r="A12">
        <v>5</v>
      </c>
      <c r="B12">
        <v>425</v>
      </c>
      <c r="C12" t="s">
        <v>211</v>
      </c>
      <c r="D12" t="s">
        <v>1168</v>
      </c>
      <c r="E12">
        <v>1976</v>
      </c>
      <c r="F12" t="s">
        <v>19</v>
      </c>
      <c r="G12" t="s">
        <v>212</v>
      </c>
      <c r="H12" t="s">
        <v>20</v>
      </c>
    </row>
    <row r="13" spans="1:21">
      <c r="A13">
        <v>6</v>
      </c>
      <c r="B13">
        <v>426</v>
      </c>
      <c r="C13" t="s">
        <v>213</v>
      </c>
      <c r="D13" t="s">
        <v>1169</v>
      </c>
      <c r="E13">
        <v>1996</v>
      </c>
      <c r="F13" t="s">
        <v>21</v>
      </c>
      <c r="G13" t="s">
        <v>23</v>
      </c>
      <c r="H13" t="s">
        <v>20</v>
      </c>
    </row>
    <row r="14" spans="1:21">
      <c r="A14">
        <v>10</v>
      </c>
      <c r="B14">
        <v>430</v>
      </c>
      <c r="C14" t="s">
        <v>216</v>
      </c>
      <c r="D14" t="s">
        <v>1170</v>
      </c>
      <c r="E14">
        <v>1978</v>
      </c>
      <c r="F14" t="s">
        <v>30</v>
      </c>
      <c r="G14" t="s">
        <v>46</v>
      </c>
      <c r="H14" t="s">
        <v>59</v>
      </c>
    </row>
    <row r="15" spans="1:21">
      <c r="A15">
        <v>11</v>
      </c>
      <c r="B15">
        <v>431</v>
      </c>
      <c r="C15" t="s">
        <v>217</v>
      </c>
      <c r="D15" t="s">
        <v>1171</v>
      </c>
      <c r="E15">
        <v>1984</v>
      </c>
      <c r="F15" t="s">
        <v>30</v>
      </c>
      <c r="G15" t="s">
        <v>45</v>
      </c>
      <c r="H15" t="s">
        <v>187</v>
      </c>
    </row>
    <row r="16" spans="1:21">
      <c r="A16">
        <v>13</v>
      </c>
      <c r="B16">
        <v>433</v>
      </c>
      <c r="C16" t="s">
        <v>220</v>
      </c>
      <c r="D16" t="s">
        <v>1172</v>
      </c>
      <c r="E16">
        <v>1985</v>
      </c>
      <c r="F16" t="s">
        <v>19</v>
      </c>
      <c r="G16" t="s">
        <v>221</v>
      </c>
      <c r="H16" t="s">
        <v>39</v>
      </c>
    </row>
    <row r="17" spans="1:8">
      <c r="A17">
        <v>14</v>
      </c>
      <c r="B17">
        <v>603</v>
      </c>
      <c r="C17" t="s">
        <v>222</v>
      </c>
      <c r="D17" t="s">
        <v>1173</v>
      </c>
      <c r="E17">
        <v>1977</v>
      </c>
      <c r="F17" t="s">
        <v>19</v>
      </c>
      <c r="G17" t="s">
        <v>223</v>
      </c>
      <c r="H17" t="s">
        <v>294</v>
      </c>
    </row>
    <row r="18" spans="1:8">
      <c r="A18">
        <v>15</v>
      </c>
      <c r="B18">
        <v>481</v>
      </c>
      <c r="C18" t="s">
        <v>224</v>
      </c>
      <c r="D18" t="s">
        <v>1174</v>
      </c>
      <c r="E18">
        <v>1983</v>
      </c>
      <c r="F18" t="s">
        <v>30</v>
      </c>
      <c r="G18" t="s">
        <v>31</v>
      </c>
      <c r="H18" t="s">
        <v>225</v>
      </c>
    </row>
    <row r="19" spans="1:8">
      <c r="A19">
        <v>16</v>
      </c>
      <c r="B19">
        <v>436</v>
      </c>
      <c r="C19" t="s">
        <v>226</v>
      </c>
      <c r="D19" t="s">
        <v>1175</v>
      </c>
      <c r="E19">
        <v>1982</v>
      </c>
      <c r="F19" t="s">
        <v>19</v>
      </c>
      <c r="G19" t="s">
        <v>227</v>
      </c>
      <c r="H19" t="s">
        <v>71</v>
      </c>
    </row>
    <row r="20" spans="1:8">
      <c r="A20">
        <v>17</v>
      </c>
      <c r="B20">
        <v>437</v>
      </c>
      <c r="C20" t="s">
        <v>228</v>
      </c>
      <c r="D20" t="s">
        <v>1176</v>
      </c>
      <c r="E20">
        <v>1987</v>
      </c>
      <c r="F20" t="s">
        <v>19</v>
      </c>
      <c r="G20" t="s">
        <v>229</v>
      </c>
      <c r="H20" t="s">
        <v>71</v>
      </c>
    </row>
    <row r="21" spans="1:8">
      <c r="A21">
        <v>18</v>
      </c>
      <c r="B21">
        <v>438</v>
      </c>
      <c r="C21" t="s">
        <v>230</v>
      </c>
      <c r="D21" t="s">
        <v>1177</v>
      </c>
      <c r="E21">
        <v>1980</v>
      </c>
      <c r="F21" t="s">
        <v>21</v>
      </c>
      <c r="G21" t="s">
        <v>34</v>
      </c>
      <c r="H21" t="s">
        <v>231</v>
      </c>
    </row>
    <row r="22" spans="1:8">
      <c r="A22">
        <v>19</v>
      </c>
      <c r="B22">
        <v>439</v>
      </c>
      <c r="C22" t="s">
        <v>232</v>
      </c>
      <c r="D22" t="s">
        <v>1178</v>
      </c>
      <c r="E22">
        <v>1975</v>
      </c>
      <c r="F22" t="s">
        <v>21</v>
      </c>
      <c r="G22" t="s">
        <v>62</v>
      </c>
      <c r="H22" t="s">
        <v>61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/>
  <dimension ref="A1:U23"/>
  <sheetViews>
    <sheetView workbookViewId="0">
      <selection activeCell="D13" sqref="D13"/>
    </sheetView>
  </sheetViews>
  <sheetFormatPr defaultRowHeight="15"/>
  <cols>
    <col min="1" max="2" width="11.140625" bestFit="1" customWidth="1"/>
    <col min="3" max="3" width="21" bestFit="1" customWidth="1"/>
    <col min="4" max="4" width="23.28515625" bestFit="1" customWidth="1"/>
    <col min="5" max="6" width="11.140625" bestFit="1" customWidth="1"/>
    <col min="7" max="7" width="20.28515625" bestFit="1" customWidth="1"/>
    <col min="8" max="8" width="11.7109375" bestFit="1" customWidth="1"/>
    <col min="9" max="9" width="11.140625" bestFit="1" customWidth="1"/>
    <col min="10" max="18" width="12.140625" bestFit="1" customWidth="1"/>
    <col min="19" max="19" width="46" bestFit="1" customWidth="1"/>
    <col min="20" max="20" width="19.28515625" bestFit="1" customWidth="1"/>
    <col min="21" max="21" width="22.42578125" bestFit="1" customWidth="1"/>
  </cols>
  <sheetData>
    <row r="1" spans="1:21">
      <c r="A1" t="s">
        <v>660</v>
      </c>
      <c r="B1" t="s">
        <v>671</v>
      </c>
      <c r="C1" t="s">
        <v>672</v>
      </c>
      <c r="D1" t="s">
        <v>673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696</v>
      </c>
      <c r="P1" t="s">
        <v>697</v>
      </c>
      <c r="Q1" t="s">
        <v>698</v>
      </c>
      <c r="R1" t="s">
        <v>699</v>
      </c>
      <c r="S1" t="s">
        <v>1142</v>
      </c>
      <c r="T1" t="s">
        <v>1140</v>
      </c>
      <c r="U1" t="s">
        <v>1141</v>
      </c>
    </row>
    <row r="2" spans="1:21">
      <c r="A2">
        <v>14</v>
      </c>
      <c r="B2">
        <v>454</v>
      </c>
      <c r="C2" t="s">
        <v>251</v>
      </c>
      <c r="D2" t="s">
        <v>1124</v>
      </c>
      <c r="E2">
        <v>1978</v>
      </c>
      <c r="F2" t="s">
        <v>30</v>
      </c>
      <c r="G2" t="s">
        <v>151</v>
      </c>
      <c r="H2" t="s">
        <v>81</v>
      </c>
      <c r="S2" t="s">
        <v>327</v>
      </c>
      <c r="T2" t="s">
        <v>440</v>
      </c>
    </row>
    <row r="3" spans="1:21">
      <c r="A3">
        <v>15</v>
      </c>
      <c r="B3">
        <v>455</v>
      </c>
      <c r="C3" t="s">
        <v>252</v>
      </c>
      <c r="D3" t="s">
        <v>1125</v>
      </c>
      <c r="E3">
        <v>1976</v>
      </c>
      <c r="F3" t="s">
        <v>30</v>
      </c>
      <c r="G3" t="s">
        <v>151</v>
      </c>
      <c r="H3" t="s">
        <v>81</v>
      </c>
      <c r="S3" t="s">
        <v>327</v>
      </c>
      <c r="T3" t="s">
        <v>332</v>
      </c>
    </row>
    <row r="4" spans="1:21">
      <c r="A4">
        <v>16</v>
      </c>
      <c r="B4">
        <v>456</v>
      </c>
      <c r="C4" t="s">
        <v>253</v>
      </c>
      <c r="D4" t="s">
        <v>1126</v>
      </c>
      <c r="E4">
        <v>1976</v>
      </c>
      <c r="F4" t="s">
        <v>30</v>
      </c>
      <c r="G4" t="s">
        <v>153</v>
      </c>
      <c r="H4" t="s">
        <v>76</v>
      </c>
      <c r="S4" t="s">
        <v>327</v>
      </c>
      <c r="T4" t="s">
        <v>345</v>
      </c>
    </row>
    <row r="5" spans="1:21">
      <c r="A5">
        <v>13</v>
      </c>
      <c r="B5">
        <v>453</v>
      </c>
      <c r="C5" t="s">
        <v>250</v>
      </c>
      <c r="D5" t="s">
        <v>1127</v>
      </c>
      <c r="E5">
        <v>1979</v>
      </c>
      <c r="F5" t="s">
        <v>30</v>
      </c>
      <c r="G5" t="s">
        <v>153</v>
      </c>
      <c r="H5" t="s">
        <v>76</v>
      </c>
      <c r="S5" t="s">
        <v>327</v>
      </c>
      <c r="T5" t="s">
        <v>569</v>
      </c>
    </row>
    <row r="6" spans="1:21">
      <c r="A6">
        <v>4</v>
      </c>
      <c r="B6">
        <v>444</v>
      </c>
      <c r="C6" t="s">
        <v>239</v>
      </c>
      <c r="D6" t="s">
        <v>1128</v>
      </c>
      <c r="E6">
        <v>1976</v>
      </c>
      <c r="F6" t="s">
        <v>21</v>
      </c>
      <c r="G6" t="s">
        <v>140</v>
      </c>
      <c r="H6" t="s">
        <v>61</v>
      </c>
      <c r="S6" t="s">
        <v>315</v>
      </c>
      <c r="T6" t="s">
        <v>422</v>
      </c>
    </row>
    <row r="7" spans="1:21">
      <c r="A7">
        <v>8</v>
      </c>
      <c r="B7">
        <v>448</v>
      </c>
      <c r="C7" t="s">
        <v>246</v>
      </c>
      <c r="D7" t="s">
        <v>1129</v>
      </c>
      <c r="E7">
        <v>1978</v>
      </c>
      <c r="F7" t="s">
        <v>21</v>
      </c>
      <c r="G7" t="s">
        <v>143</v>
      </c>
      <c r="H7" t="s">
        <v>27</v>
      </c>
      <c r="S7" t="s">
        <v>315</v>
      </c>
      <c r="T7" t="s">
        <v>391</v>
      </c>
    </row>
    <row r="8" spans="1:21">
      <c r="A8">
        <v>3</v>
      </c>
      <c r="B8">
        <v>443</v>
      </c>
      <c r="C8" t="s">
        <v>237</v>
      </c>
      <c r="D8" t="s">
        <v>1130</v>
      </c>
      <c r="E8">
        <v>1984</v>
      </c>
      <c r="F8" t="s">
        <v>21</v>
      </c>
      <c r="G8" t="s">
        <v>238</v>
      </c>
      <c r="H8" t="s">
        <v>121</v>
      </c>
      <c r="S8" t="s">
        <v>315</v>
      </c>
      <c r="T8" t="s">
        <v>374</v>
      </c>
    </row>
    <row r="9" spans="1:21">
      <c r="A9">
        <v>2</v>
      </c>
      <c r="B9">
        <v>442</v>
      </c>
      <c r="C9" t="s">
        <v>236</v>
      </c>
      <c r="D9" t="s">
        <v>1131</v>
      </c>
      <c r="E9">
        <v>1981</v>
      </c>
      <c r="F9" t="s">
        <v>21</v>
      </c>
      <c r="G9" t="s">
        <v>66</v>
      </c>
      <c r="H9" t="s">
        <v>121</v>
      </c>
      <c r="S9" t="s">
        <v>315</v>
      </c>
      <c r="T9" t="s">
        <v>457</v>
      </c>
    </row>
    <row r="10" spans="1:21">
      <c r="A10">
        <v>5</v>
      </c>
      <c r="B10">
        <v>445</v>
      </c>
      <c r="C10" t="s">
        <v>193</v>
      </c>
      <c r="D10" t="s">
        <v>1053</v>
      </c>
      <c r="E10">
        <v>1984</v>
      </c>
      <c r="F10" t="s">
        <v>19</v>
      </c>
      <c r="G10" t="s">
        <v>240</v>
      </c>
      <c r="H10" t="s">
        <v>121</v>
      </c>
      <c r="S10" t="s">
        <v>654</v>
      </c>
      <c r="T10" t="s">
        <v>796</v>
      </c>
    </row>
    <row r="11" spans="1:21">
      <c r="A11">
        <v>5</v>
      </c>
      <c r="B11">
        <v>445</v>
      </c>
      <c r="C11" t="s">
        <v>193</v>
      </c>
      <c r="D11" t="s">
        <v>1053</v>
      </c>
      <c r="E11">
        <v>1984</v>
      </c>
      <c r="F11" t="s">
        <v>19</v>
      </c>
      <c r="G11" t="s">
        <v>240</v>
      </c>
      <c r="H11" t="s">
        <v>121</v>
      </c>
      <c r="S11" t="s">
        <v>327</v>
      </c>
      <c r="T11" t="s">
        <v>801</v>
      </c>
    </row>
    <row r="12" spans="1:21">
      <c r="A12">
        <v>20</v>
      </c>
      <c r="B12">
        <v>460</v>
      </c>
      <c r="C12" t="s">
        <v>259</v>
      </c>
      <c r="D12" t="s">
        <v>1058</v>
      </c>
      <c r="E12">
        <v>1983</v>
      </c>
      <c r="F12" t="s">
        <v>19</v>
      </c>
      <c r="G12" t="s">
        <v>260</v>
      </c>
      <c r="H12" t="s">
        <v>261</v>
      </c>
      <c r="S12" t="s">
        <v>654</v>
      </c>
      <c r="T12" t="s">
        <v>837</v>
      </c>
    </row>
    <row r="13" spans="1:21">
      <c r="A13">
        <v>1</v>
      </c>
      <c r="B13">
        <v>441</v>
      </c>
      <c r="C13" t="s">
        <v>218</v>
      </c>
      <c r="D13" t="s">
        <v>1063</v>
      </c>
      <c r="E13">
        <v>1991</v>
      </c>
      <c r="F13" t="s">
        <v>19</v>
      </c>
      <c r="G13" t="s">
        <v>235</v>
      </c>
      <c r="H13" t="s">
        <v>100</v>
      </c>
      <c r="S13" t="s">
        <v>654</v>
      </c>
      <c r="T13" t="s">
        <v>872</v>
      </c>
    </row>
    <row r="14" spans="1:21">
      <c r="A14">
        <v>1</v>
      </c>
      <c r="B14">
        <v>441</v>
      </c>
      <c r="C14" t="s">
        <v>218</v>
      </c>
      <c r="D14" t="s">
        <v>1063</v>
      </c>
      <c r="E14">
        <v>1991</v>
      </c>
      <c r="F14" t="s">
        <v>19</v>
      </c>
      <c r="G14" t="s">
        <v>235</v>
      </c>
      <c r="H14" t="s">
        <v>100</v>
      </c>
      <c r="S14" t="s">
        <v>377</v>
      </c>
      <c r="T14" t="s">
        <v>883</v>
      </c>
    </row>
    <row r="15" spans="1:21">
      <c r="A15">
        <v>12</v>
      </c>
      <c r="B15">
        <v>452</v>
      </c>
      <c r="C15" t="s">
        <v>249</v>
      </c>
      <c r="D15" t="s">
        <v>1080</v>
      </c>
      <c r="E15">
        <v>1982</v>
      </c>
      <c r="F15" t="s">
        <v>30</v>
      </c>
      <c r="G15" t="s">
        <v>153</v>
      </c>
      <c r="H15" t="s">
        <v>76</v>
      </c>
      <c r="S15" t="s">
        <v>327</v>
      </c>
      <c r="T15" t="s">
        <v>983</v>
      </c>
    </row>
    <row r="16" spans="1:21">
      <c r="A16">
        <v>11</v>
      </c>
      <c r="B16">
        <v>451</v>
      </c>
      <c r="C16" t="s">
        <v>248</v>
      </c>
      <c r="D16" t="s">
        <v>1081</v>
      </c>
      <c r="E16">
        <v>1983</v>
      </c>
      <c r="F16" t="s">
        <v>30</v>
      </c>
      <c r="G16" t="s">
        <v>148</v>
      </c>
      <c r="H16" t="s">
        <v>149</v>
      </c>
      <c r="S16" t="s">
        <v>327</v>
      </c>
      <c r="T16" t="s">
        <v>989</v>
      </c>
      <c r="U16">
        <v>14183008863</v>
      </c>
    </row>
    <row r="17" spans="1:20">
      <c r="A17">
        <v>18</v>
      </c>
      <c r="B17">
        <v>458</v>
      </c>
      <c r="C17" t="s">
        <v>256</v>
      </c>
      <c r="D17" t="s">
        <v>1082</v>
      </c>
      <c r="E17">
        <v>1995</v>
      </c>
      <c r="F17" t="s">
        <v>21</v>
      </c>
      <c r="G17" t="s">
        <v>257</v>
      </c>
      <c r="H17" t="s">
        <v>157</v>
      </c>
      <c r="S17" t="s">
        <v>394</v>
      </c>
      <c r="T17" t="s">
        <v>1002</v>
      </c>
    </row>
    <row r="18" spans="1:20">
      <c r="A18">
        <v>6</v>
      </c>
      <c r="B18">
        <v>446</v>
      </c>
      <c r="C18" t="s">
        <v>241</v>
      </c>
      <c r="D18" t="s">
        <v>1179</v>
      </c>
      <c r="E18">
        <v>2000</v>
      </c>
      <c r="F18" t="s">
        <v>21</v>
      </c>
      <c r="G18" t="s">
        <v>242</v>
      </c>
      <c r="H18" t="s">
        <v>243</v>
      </c>
    </row>
    <row r="19" spans="1:20">
      <c r="A19">
        <v>7</v>
      </c>
      <c r="B19">
        <v>447</v>
      </c>
      <c r="C19" t="s">
        <v>244</v>
      </c>
      <c r="D19" t="s">
        <v>1180</v>
      </c>
      <c r="E19">
        <v>1983</v>
      </c>
      <c r="F19" t="s">
        <v>21</v>
      </c>
      <c r="G19" t="s">
        <v>245</v>
      </c>
      <c r="H19" t="s">
        <v>71</v>
      </c>
    </row>
    <row r="20" spans="1:20">
      <c r="A20">
        <v>9</v>
      </c>
      <c r="B20">
        <v>449</v>
      </c>
      <c r="C20" t="s">
        <v>36</v>
      </c>
      <c r="D20" t="s">
        <v>1181</v>
      </c>
      <c r="E20">
        <v>1995</v>
      </c>
      <c r="F20" t="s">
        <v>30</v>
      </c>
      <c r="G20" t="s">
        <v>151</v>
      </c>
      <c r="H20" t="s">
        <v>81</v>
      </c>
    </row>
    <row r="21" spans="1:20">
      <c r="A21">
        <v>10</v>
      </c>
      <c r="B21">
        <v>450</v>
      </c>
      <c r="C21" t="s">
        <v>247</v>
      </c>
      <c r="D21" t="s">
        <v>1182</v>
      </c>
      <c r="E21">
        <v>1985</v>
      </c>
      <c r="F21" t="s">
        <v>30</v>
      </c>
      <c r="G21" t="s">
        <v>148</v>
      </c>
      <c r="H21" t="s">
        <v>149</v>
      </c>
    </row>
    <row r="22" spans="1:20">
      <c r="A22">
        <v>17</v>
      </c>
      <c r="B22">
        <v>457</v>
      </c>
      <c r="C22" t="s">
        <v>254</v>
      </c>
      <c r="D22" t="s">
        <v>1183</v>
      </c>
      <c r="E22">
        <v>1975</v>
      </c>
      <c r="F22" t="s">
        <v>30</v>
      </c>
      <c r="G22" t="s">
        <v>255</v>
      </c>
      <c r="H22" t="s">
        <v>81</v>
      </c>
    </row>
    <row r="23" spans="1:20">
      <c r="A23">
        <v>19</v>
      </c>
      <c r="B23">
        <v>459</v>
      </c>
      <c r="C23" t="s">
        <v>176</v>
      </c>
      <c r="D23" t="s">
        <v>1160</v>
      </c>
      <c r="E23">
        <v>1975</v>
      </c>
      <c r="F23" t="s">
        <v>21</v>
      </c>
      <c r="G23" t="s">
        <v>258</v>
      </c>
      <c r="H23" t="s">
        <v>157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0"/>
  <dimension ref="A1:U21"/>
  <sheetViews>
    <sheetView workbookViewId="0">
      <selection activeCell="D13" sqref="D13"/>
    </sheetView>
  </sheetViews>
  <sheetFormatPr defaultRowHeight="15"/>
  <cols>
    <col min="1" max="2" width="11.140625" bestFit="1" customWidth="1"/>
    <col min="3" max="3" width="22.85546875" bestFit="1" customWidth="1"/>
    <col min="4" max="4" width="24.85546875" bestFit="1" customWidth="1"/>
    <col min="5" max="6" width="11.140625" bestFit="1" customWidth="1"/>
    <col min="7" max="7" width="23.140625" bestFit="1" customWidth="1"/>
    <col min="8" max="9" width="11.140625" bestFit="1" customWidth="1"/>
    <col min="10" max="18" width="12.140625" bestFit="1" customWidth="1"/>
    <col min="19" max="19" width="46" bestFit="1" customWidth="1"/>
    <col min="20" max="20" width="19.28515625" bestFit="1" customWidth="1"/>
    <col min="21" max="21" width="22.42578125" bestFit="1" customWidth="1"/>
  </cols>
  <sheetData>
    <row r="1" spans="1:21">
      <c r="A1" t="s">
        <v>660</v>
      </c>
      <c r="B1" t="s">
        <v>671</v>
      </c>
      <c r="C1" t="s">
        <v>672</v>
      </c>
      <c r="D1" t="s">
        <v>673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696</v>
      </c>
      <c r="P1" t="s">
        <v>697</v>
      </c>
      <c r="Q1" t="s">
        <v>698</v>
      </c>
      <c r="R1" t="s">
        <v>699</v>
      </c>
      <c r="S1" t="s">
        <v>1142</v>
      </c>
      <c r="T1" t="s">
        <v>1140</v>
      </c>
      <c r="U1" t="s">
        <v>1141</v>
      </c>
    </row>
    <row r="2" spans="1:21">
      <c r="A2">
        <v>1</v>
      </c>
      <c r="B2">
        <v>482</v>
      </c>
      <c r="C2" t="s">
        <v>262</v>
      </c>
      <c r="D2" t="s">
        <v>1099</v>
      </c>
      <c r="E2">
        <v>1984</v>
      </c>
      <c r="F2" t="s">
        <v>30</v>
      </c>
      <c r="G2" t="s">
        <v>113</v>
      </c>
      <c r="H2" t="s">
        <v>114</v>
      </c>
      <c r="S2" t="s">
        <v>358</v>
      </c>
      <c r="T2" t="s">
        <v>362</v>
      </c>
    </row>
    <row r="3" spans="1:21">
      <c r="A3">
        <v>13</v>
      </c>
      <c r="B3">
        <v>473</v>
      </c>
      <c r="C3" t="s">
        <v>194</v>
      </c>
      <c r="D3" t="s">
        <v>1118</v>
      </c>
      <c r="E3">
        <v>1979</v>
      </c>
      <c r="F3" t="s">
        <v>21</v>
      </c>
      <c r="G3" t="s">
        <v>47</v>
      </c>
      <c r="H3" t="s">
        <v>20</v>
      </c>
      <c r="S3" t="s">
        <v>394</v>
      </c>
      <c r="T3" t="s">
        <v>528</v>
      </c>
    </row>
    <row r="4" spans="1:21">
      <c r="A4">
        <v>18</v>
      </c>
      <c r="B4">
        <v>478</v>
      </c>
      <c r="C4" t="s">
        <v>284</v>
      </c>
      <c r="D4" t="s">
        <v>1133</v>
      </c>
      <c r="E4">
        <v>1978</v>
      </c>
      <c r="F4" t="s">
        <v>30</v>
      </c>
      <c r="G4" t="s">
        <v>110</v>
      </c>
      <c r="H4" t="s">
        <v>100</v>
      </c>
      <c r="S4" t="s">
        <v>327</v>
      </c>
      <c r="T4" t="s">
        <v>503</v>
      </c>
    </row>
    <row r="5" spans="1:21">
      <c r="A5">
        <v>12</v>
      </c>
      <c r="B5">
        <v>472</v>
      </c>
      <c r="C5" t="s">
        <v>278</v>
      </c>
      <c r="D5" t="s">
        <v>1134</v>
      </c>
      <c r="E5">
        <v>1980</v>
      </c>
      <c r="F5" t="s">
        <v>21</v>
      </c>
      <c r="G5" t="s">
        <v>43</v>
      </c>
      <c r="H5" t="s">
        <v>20</v>
      </c>
      <c r="S5" t="s">
        <v>394</v>
      </c>
      <c r="T5" t="s">
        <v>580</v>
      </c>
    </row>
    <row r="6" spans="1:21">
      <c r="A6">
        <v>20</v>
      </c>
      <c r="B6">
        <v>480</v>
      </c>
      <c r="C6" t="s">
        <v>287</v>
      </c>
      <c r="D6" t="s">
        <v>1136</v>
      </c>
      <c r="E6">
        <v>1986</v>
      </c>
      <c r="F6" t="s">
        <v>30</v>
      </c>
      <c r="G6" t="s">
        <v>46</v>
      </c>
      <c r="H6" t="s">
        <v>59</v>
      </c>
      <c r="S6" t="s">
        <v>327</v>
      </c>
      <c r="T6" t="s">
        <v>508</v>
      </c>
    </row>
    <row r="7" spans="1:21">
      <c r="A7">
        <v>10</v>
      </c>
      <c r="B7">
        <v>470</v>
      </c>
      <c r="C7" t="s">
        <v>276</v>
      </c>
      <c r="D7" t="s">
        <v>1137</v>
      </c>
      <c r="E7">
        <v>1984</v>
      </c>
      <c r="F7" t="s">
        <v>21</v>
      </c>
      <c r="G7" t="s">
        <v>38</v>
      </c>
      <c r="H7" t="s">
        <v>20</v>
      </c>
      <c r="S7" t="s">
        <v>315</v>
      </c>
      <c r="T7" t="s">
        <v>339</v>
      </c>
    </row>
    <row r="8" spans="1:21">
      <c r="A8">
        <v>2</v>
      </c>
      <c r="B8">
        <v>462</v>
      </c>
      <c r="C8" t="s">
        <v>263</v>
      </c>
      <c r="D8" t="s">
        <v>1046</v>
      </c>
      <c r="E8">
        <v>1977</v>
      </c>
      <c r="F8" t="s">
        <v>21</v>
      </c>
      <c r="G8" t="s">
        <v>264</v>
      </c>
      <c r="H8" t="s">
        <v>149</v>
      </c>
      <c r="S8" t="s">
        <v>315</v>
      </c>
      <c r="T8" t="s">
        <v>745</v>
      </c>
    </row>
    <row r="9" spans="1:21">
      <c r="A9">
        <v>19</v>
      </c>
      <c r="B9">
        <v>479</v>
      </c>
      <c r="C9" t="s">
        <v>285</v>
      </c>
      <c r="D9" t="s">
        <v>1048</v>
      </c>
      <c r="E9">
        <v>1992</v>
      </c>
      <c r="F9" t="s">
        <v>19</v>
      </c>
      <c r="G9" t="s">
        <v>286</v>
      </c>
      <c r="H9" t="s">
        <v>39</v>
      </c>
      <c r="S9" t="s">
        <v>654</v>
      </c>
      <c r="T9" t="s">
        <v>761</v>
      </c>
    </row>
    <row r="10" spans="1:21">
      <c r="A10">
        <v>4</v>
      </c>
      <c r="B10">
        <v>464</v>
      </c>
      <c r="C10" t="s">
        <v>267</v>
      </c>
      <c r="D10" t="s">
        <v>1049</v>
      </c>
      <c r="E10">
        <v>1979</v>
      </c>
      <c r="F10" t="s">
        <v>21</v>
      </c>
      <c r="G10" t="s">
        <v>35</v>
      </c>
      <c r="H10" t="s">
        <v>81</v>
      </c>
      <c r="S10" t="s">
        <v>315</v>
      </c>
      <c r="T10" t="s">
        <v>769</v>
      </c>
    </row>
    <row r="11" spans="1:21">
      <c r="A11">
        <v>8</v>
      </c>
      <c r="B11">
        <v>468</v>
      </c>
      <c r="C11" t="s">
        <v>273</v>
      </c>
      <c r="D11" t="s">
        <v>1052</v>
      </c>
      <c r="E11">
        <v>1979</v>
      </c>
      <c r="F11" t="s">
        <v>19</v>
      </c>
      <c r="G11" t="s">
        <v>274</v>
      </c>
      <c r="H11" t="s">
        <v>94</v>
      </c>
      <c r="S11" t="s">
        <v>377</v>
      </c>
      <c r="T11" t="s">
        <v>790</v>
      </c>
    </row>
    <row r="12" spans="1:21">
      <c r="A12">
        <v>15</v>
      </c>
      <c r="B12">
        <v>475</v>
      </c>
      <c r="C12" t="s">
        <v>280</v>
      </c>
      <c r="D12" t="s">
        <v>1054</v>
      </c>
      <c r="E12">
        <v>1979</v>
      </c>
      <c r="F12" t="s">
        <v>30</v>
      </c>
      <c r="G12" t="s">
        <v>107</v>
      </c>
      <c r="H12" t="s">
        <v>100</v>
      </c>
      <c r="S12" t="s">
        <v>327</v>
      </c>
      <c r="T12" t="s">
        <v>808</v>
      </c>
    </row>
    <row r="13" spans="1:21">
      <c r="A13">
        <v>9</v>
      </c>
      <c r="B13">
        <v>469</v>
      </c>
      <c r="C13" t="s">
        <v>275</v>
      </c>
      <c r="D13" t="s">
        <v>1062</v>
      </c>
      <c r="E13">
        <v>1992</v>
      </c>
      <c r="F13" t="s">
        <v>21</v>
      </c>
      <c r="G13" t="s">
        <v>104</v>
      </c>
      <c r="H13" t="s">
        <v>20</v>
      </c>
      <c r="S13" t="s">
        <v>394</v>
      </c>
      <c r="T13" t="s">
        <v>864</v>
      </c>
    </row>
    <row r="14" spans="1:21">
      <c r="A14">
        <v>6</v>
      </c>
      <c r="B14">
        <v>466</v>
      </c>
      <c r="C14" t="s">
        <v>269</v>
      </c>
      <c r="D14" t="s">
        <v>1078</v>
      </c>
      <c r="E14">
        <v>1988</v>
      </c>
      <c r="F14" t="s">
        <v>21</v>
      </c>
      <c r="G14" t="s">
        <v>270</v>
      </c>
      <c r="H14" t="s">
        <v>81</v>
      </c>
      <c r="S14" t="s">
        <v>394</v>
      </c>
      <c r="T14" t="s">
        <v>969</v>
      </c>
    </row>
    <row r="15" spans="1:21">
      <c r="A15">
        <v>3</v>
      </c>
      <c r="B15">
        <v>463</v>
      </c>
      <c r="C15" t="s">
        <v>265</v>
      </c>
      <c r="D15" t="s">
        <v>1184</v>
      </c>
      <c r="E15">
        <v>1989</v>
      </c>
      <c r="F15" t="s">
        <v>19</v>
      </c>
      <c r="G15" t="s">
        <v>266</v>
      </c>
      <c r="H15" t="s">
        <v>81</v>
      </c>
    </row>
    <row r="16" spans="1:21">
      <c r="A16">
        <v>5</v>
      </c>
      <c r="B16">
        <v>465</v>
      </c>
      <c r="C16" t="s">
        <v>268</v>
      </c>
      <c r="D16" t="s">
        <v>666</v>
      </c>
      <c r="E16">
        <v>1975</v>
      </c>
      <c r="F16" t="s">
        <v>21</v>
      </c>
      <c r="G16" t="s">
        <v>171</v>
      </c>
      <c r="H16" t="s">
        <v>81</v>
      </c>
    </row>
    <row r="17" spans="1:8">
      <c r="A17">
        <v>7</v>
      </c>
      <c r="B17">
        <v>467</v>
      </c>
      <c r="C17" t="s">
        <v>271</v>
      </c>
      <c r="D17" t="s">
        <v>1185</v>
      </c>
      <c r="E17">
        <v>1978</v>
      </c>
      <c r="F17" t="s">
        <v>30</v>
      </c>
      <c r="G17" t="s">
        <v>33</v>
      </c>
      <c r="H17" t="s">
        <v>272</v>
      </c>
    </row>
    <row r="18" spans="1:8">
      <c r="A18">
        <v>11</v>
      </c>
      <c r="B18">
        <v>471</v>
      </c>
      <c r="C18" t="s">
        <v>277</v>
      </c>
      <c r="D18" t="s">
        <v>1186</v>
      </c>
      <c r="E18">
        <v>1982</v>
      </c>
      <c r="F18" t="s">
        <v>21</v>
      </c>
      <c r="G18" t="s">
        <v>22</v>
      </c>
      <c r="H18" t="s">
        <v>94</v>
      </c>
    </row>
    <row r="19" spans="1:8">
      <c r="A19">
        <v>14</v>
      </c>
      <c r="B19">
        <v>474</v>
      </c>
      <c r="C19" t="s">
        <v>279</v>
      </c>
      <c r="D19" t="s">
        <v>1187</v>
      </c>
      <c r="E19">
        <v>1977</v>
      </c>
      <c r="F19" t="s">
        <v>21</v>
      </c>
      <c r="G19" t="s">
        <v>24</v>
      </c>
      <c r="H19" t="s">
        <v>210</v>
      </c>
    </row>
    <row r="20" spans="1:8">
      <c r="A20">
        <v>16</v>
      </c>
      <c r="B20">
        <v>476</v>
      </c>
      <c r="C20" t="s">
        <v>281</v>
      </c>
      <c r="D20" t="s">
        <v>1188</v>
      </c>
      <c r="E20">
        <v>1978</v>
      </c>
      <c r="F20" t="s">
        <v>30</v>
      </c>
      <c r="G20" t="s">
        <v>282</v>
      </c>
      <c r="H20" t="s">
        <v>283</v>
      </c>
    </row>
    <row r="21" spans="1:8">
      <c r="A21">
        <v>17</v>
      </c>
      <c r="B21">
        <v>477</v>
      </c>
      <c r="C21" t="s">
        <v>128</v>
      </c>
      <c r="D21" t="s">
        <v>1149</v>
      </c>
      <c r="E21">
        <v>1982</v>
      </c>
      <c r="F21" t="s">
        <v>30</v>
      </c>
      <c r="G21" t="s">
        <v>110</v>
      </c>
      <c r="H21" t="s">
        <v>100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553E-E8FB-4F0C-B3FD-6F40B3C8ED8A}">
  <sheetPr codeName="Sheet21"/>
  <dimension ref="A1:N59"/>
  <sheetViews>
    <sheetView workbookViewId="0">
      <selection sqref="A1:N59"/>
    </sheetView>
  </sheetViews>
  <sheetFormatPr defaultRowHeight="15"/>
  <cols>
    <col min="1" max="1" width="24.85546875" bestFit="1" customWidth="1"/>
    <col min="2" max="2" width="16.140625" bestFit="1" customWidth="1"/>
    <col min="3" max="3" width="13.42578125" bestFit="1" customWidth="1"/>
    <col min="4" max="4" width="32.28515625" bestFit="1" customWidth="1"/>
    <col min="5" max="5" width="14" bestFit="1" customWidth="1"/>
    <col min="6" max="6" width="10.5703125" bestFit="1" customWidth="1"/>
    <col min="7" max="7" width="11.28515625" bestFit="1" customWidth="1"/>
    <col min="8" max="8" width="16.5703125" bestFit="1" customWidth="1"/>
    <col min="9" max="9" width="12.85546875" bestFit="1" customWidth="1"/>
    <col min="10" max="10" width="13" bestFit="1" customWidth="1"/>
    <col min="11" max="11" width="11.28515625" bestFit="1" customWidth="1"/>
    <col min="12" max="12" width="10.42578125" bestFit="1" customWidth="1"/>
    <col min="13" max="13" width="10" bestFit="1" customWidth="1"/>
    <col min="14" max="14" width="11.28515625" bestFit="1" customWidth="1"/>
  </cols>
  <sheetData>
    <row r="1" spans="1:14">
      <c r="A1" s="79" t="s">
        <v>1363</v>
      </c>
      <c r="B1" s="79" t="s">
        <v>1295</v>
      </c>
      <c r="C1" s="79" t="s">
        <v>1296</v>
      </c>
      <c r="D1" s="79" t="s">
        <v>1297</v>
      </c>
      <c r="E1" s="79" t="s">
        <v>1298</v>
      </c>
      <c r="F1" s="79" t="s">
        <v>1299</v>
      </c>
      <c r="G1" s="79" t="s">
        <v>1300</v>
      </c>
      <c r="H1" s="79" t="s">
        <v>1301</v>
      </c>
      <c r="I1" s="79" t="s">
        <v>1302</v>
      </c>
      <c r="J1" s="79" t="s">
        <v>1303</v>
      </c>
      <c r="K1" s="79" t="s">
        <v>1304</v>
      </c>
      <c r="L1" s="79" t="s">
        <v>1305</v>
      </c>
      <c r="M1" s="79" t="s">
        <v>1306</v>
      </c>
      <c r="N1" s="79" t="s">
        <v>1307</v>
      </c>
    </row>
    <row r="2" spans="1:14">
      <c r="A2" s="79" t="s">
        <v>684</v>
      </c>
      <c r="B2" s="79" t="s">
        <v>1310</v>
      </c>
      <c r="C2" s="79">
        <v>973438488</v>
      </c>
      <c r="D2" s="79" t="s">
        <v>714</v>
      </c>
      <c r="E2" s="79" t="s">
        <v>1311</v>
      </c>
      <c r="F2" s="79" t="s">
        <v>1312</v>
      </c>
      <c r="G2" s="79" t="s">
        <v>1313</v>
      </c>
      <c r="H2" s="79">
        <v>25177005125</v>
      </c>
      <c r="I2" s="79" t="s">
        <v>1314</v>
      </c>
      <c r="J2" s="79">
        <v>3.5</v>
      </c>
      <c r="K2" s="79">
        <v>2</v>
      </c>
      <c r="L2" s="79">
        <v>4</v>
      </c>
      <c r="M2" s="79">
        <v>4</v>
      </c>
      <c r="N2" s="79">
        <v>3.5</v>
      </c>
    </row>
    <row r="3" spans="1:14">
      <c r="A3" s="79" t="s">
        <v>1158</v>
      </c>
      <c r="B3" s="79" t="s">
        <v>1310</v>
      </c>
      <c r="C3" s="79">
        <v>947476368</v>
      </c>
      <c r="D3" s="79" t="s">
        <v>1317</v>
      </c>
      <c r="E3" s="79" t="s">
        <v>1318</v>
      </c>
      <c r="F3" s="79" t="s">
        <v>1312</v>
      </c>
      <c r="G3" s="79" t="s">
        <v>1313</v>
      </c>
      <c r="H3" s="79">
        <v>1175032774</v>
      </c>
      <c r="I3" s="79" t="s">
        <v>1314</v>
      </c>
      <c r="J3" s="79">
        <v>4</v>
      </c>
      <c r="K3" s="79">
        <v>3.5</v>
      </c>
      <c r="L3" s="79">
        <v>4.5</v>
      </c>
      <c r="M3" s="79">
        <v>3.5</v>
      </c>
      <c r="N3" s="79">
        <v>4</v>
      </c>
    </row>
    <row r="4" spans="1:14">
      <c r="A4" s="79" t="s">
        <v>1125</v>
      </c>
      <c r="B4" s="79" t="s">
        <v>1310</v>
      </c>
      <c r="C4" s="79">
        <v>983492638</v>
      </c>
      <c r="D4" s="79" t="s">
        <v>331</v>
      </c>
      <c r="E4" s="79" t="s">
        <v>1320</v>
      </c>
      <c r="F4" s="79" t="s">
        <v>1312</v>
      </c>
      <c r="G4" s="79" t="s">
        <v>1313</v>
      </c>
      <c r="H4" s="79">
        <v>1176049161</v>
      </c>
      <c r="I4" s="79" t="s">
        <v>1314</v>
      </c>
      <c r="J4" s="79">
        <v>6.5</v>
      </c>
      <c r="K4" s="79">
        <v>5.5</v>
      </c>
      <c r="L4" s="79">
        <v>6.5</v>
      </c>
      <c r="M4" s="79">
        <v>7</v>
      </c>
      <c r="N4" s="79">
        <v>6</v>
      </c>
    </row>
    <row r="5" spans="1:14">
      <c r="A5" s="79" t="s">
        <v>1114</v>
      </c>
      <c r="B5" s="79" t="s">
        <v>1310</v>
      </c>
      <c r="C5" s="79">
        <v>386286499</v>
      </c>
      <c r="D5" s="79" t="s">
        <v>723</v>
      </c>
      <c r="E5" s="79" t="s">
        <v>1322</v>
      </c>
      <c r="F5" s="79" t="s">
        <v>1312</v>
      </c>
      <c r="G5" s="79" t="s">
        <v>1313</v>
      </c>
      <c r="H5" s="79">
        <v>1178022441</v>
      </c>
      <c r="I5" s="79" t="s">
        <v>1314</v>
      </c>
      <c r="J5" s="79">
        <v>4.5</v>
      </c>
      <c r="K5" s="79">
        <v>3</v>
      </c>
      <c r="L5" s="79">
        <v>5.5</v>
      </c>
      <c r="M5" s="79">
        <v>5.5</v>
      </c>
      <c r="N5" s="79">
        <v>4.5</v>
      </c>
    </row>
    <row r="6" spans="1:14">
      <c r="A6" s="79" t="s">
        <v>1137</v>
      </c>
      <c r="B6" s="79" t="s">
        <v>1310</v>
      </c>
      <c r="C6" s="79">
        <v>989897556</v>
      </c>
      <c r="D6" s="79" t="s">
        <v>338</v>
      </c>
      <c r="E6" s="79">
        <v>30927</v>
      </c>
      <c r="F6" s="79" t="s">
        <v>1312</v>
      </c>
      <c r="G6" s="79" t="s">
        <v>1313</v>
      </c>
      <c r="H6" s="79">
        <v>1184057507</v>
      </c>
      <c r="I6" s="79" t="s">
        <v>1314</v>
      </c>
      <c r="J6" s="79">
        <v>5.5</v>
      </c>
      <c r="K6" s="79">
        <v>5</v>
      </c>
      <c r="L6" s="79">
        <v>5.5</v>
      </c>
      <c r="M6" s="79">
        <v>6</v>
      </c>
      <c r="N6" s="79">
        <v>5.5</v>
      </c>
    </row>
    <row r="7" spans="1:14">
      <c r="A7" s="79" t="s">
        <v>1126</v>
      </c>
      <c r="B7" s="79" t="s">
        <v>1310</v>
      </c>
      <c r="C7" s="79">
        <v>982033412</v>
      </c>
      <c r="D7" s="79" t="s">
        <v>344</v>
      </c>
      <c r="E7" s="79" t="s">
        <v>1323</v>
      </c>
      <c r="F7" s="79" t="s">
        <v>1312</v>
      </c>
      <c r="G7" s="79" t="s">
        <v>1313</v>
      </c>
      <c r="H7" s="79">
        <v>27176002787</v>
      </c>
      <c r="I7" s="79" t="s">
        <v>1314</v>
      </c>
      <c r="J7" s="79">
        <v>5</v>
      </c>
      <c r="K7" s="79">
        <v>3.5</v>
      </c>
      <c r="L7" s="79">
        <v>5.5</v>
      </c>
      <c r="M7" s="79">
        <v>6</v>
      </c>
      <c r="N7" s="79">
        <v>5.5</v>
      </c>
    </row>
    <row r="8" spans="1:14">
      <c r="A8" s="79" t="s">
        <v>1086</v>
      </c>
      <c r="B8" s="79" t="s">
        <v>1310</v>
      </c>
      <c r="C8" s="79">
        <v>986997462</v>
      </c>
      <c r="D8" s="79" t="s">
        <v>1324</v>
      </c>
      <c r="E8" s="79" t="s">
        <v>1325</v>
      </c>
      <c r="F8" s="79" t="s">
        <v>1312</v>
      </c>
      <c r="G8" s="79" t="s">
        <v>1313</v>
      </c>
      <c r="H8" s="79">
        <v>26176000273</v>
      </c>
      <c r="I8" s="79" t="s">
        <v>1314</v>
      </c>
      <c r="J8" s="79">
        <v>4.5</v>
      </c>
      <c r="K8" s="79">
        <v>2</v>
      </c>
      <c r="L8" s="79">
        <v>5</v>
      </c>
      <c r="M8" s="79">
        <v>6</v>
      </c>
      <c r="N8" s="79">
        <v>5</v>
      </c>
    </row>
    <row r="9" spans="1:14">
      <c r="A9" s="79" t="s">
        <v>1174</v>
      </c>
      <c r="B9" s="79" t="s">
        <v>1310</v>
      </c>
      <c r="C9" s="79">
        <v>972981938</v>
      </c>
      <c r="D9" s="79" t="s">
        <v>348</v>
      </c>
      <c r="E9" s="79" t="s">
        <v>1320</v>
      </c>
      <c r="F9" s="79" t="s">
        <v>1327</v>
      </c>
      <c r="G9" s="79" t="s">
        <v>1313</v>
      </c>
      <c r="H9" s="79">
        <v>1083006421</v>
      </c>
      <c r="I9" s="79" t="s">
        <v>1314</v>
      </c>
      <c r="J9" s="79">
        <v>6</v>
      </c>
      <c r="K9" s="79">
        <v>5.5</v>
      </c>
      <c r="L9" s="79">
        <v>6</v>
      </c>
      <c r="M9" s="79">
        <v>5.5</v>
      </c>
      <c r="N9" s="79">
        <v>6</v>
      </c>
    </row>
    <row r="10" spans="1:14">
      <c r="A10" s="79" t="s">
        <v>1099</v>
      </c>
      <c r="B10" s="79" t="s">
        <v>1310</v>
      </c>
      <c r="C10" s="79">
        <v>987709904</v>
      </c>
      <c r="D10" s="79" t="s">
        <v>361</v>
      </c>
      <c r="E10" s="79">
        <v>30686</v>
      </c>
      <c r="F10" s="79" t="s">
        <v>1312</v>
      </c>
      <c r="G10" s="79" t="s">
        <v>1313</v>
      </c>
      <c r="H10" s="79">
        <v>1184058569</v>
      </c>
      <c r="I10" s="79" t="s">
        <v>1314</v>
      </c>
      <c r="J10" s="79">
        <v>6</v>
      </c>
      <c r="K10" s="79">
        <v>5</v>
      </c>
      <c r="L10" s="79">
        <v>6</v>
      </c>
      <c r="M10" s="79">
        <v>6</v>
      </c>
      <c r="N10" s="79">
        <v>6</v>
      </c>
    </row>
    <row r="11" spans="1:14">
      <c r="A11" s="79" t="s">
        <v>1113</v>
      </c>
      <c r="B11" s="79" t="s">
        <v>1310</v>
      </c>
      <c r="C11" s="79">
        <v>966099169</v>
      </c>
      <c r="D11" s="79" t="s">
        <v>365</v>
      </c>
      <c r="E11" s="79" t="s">
        <v>1328</v>
      </c>
      <c r="F11" s="79" t="s">
        <v>1312</v>
      </c>
      <c r="G11" s="79" t="s">
        <v>1313</v>
      </c>
      <c r="H11" s="79">
        <v>1177014103</v>
      </c>
      <c r="I11" s="79" t="s">
        <v>1314</v>
      </c>
      <c r="J11" s="79">
        <v>4.5</v>
      </c>
      <c r="K11" s="79">
        <v>3.5</v>
      </c>
      <c r="L11" s="79">
        <v>4.5</v>
      </c>
      <c r="M11" s="79">
        <v>5.5</v>
      </c>
      <c r="N11" s="79">
        <v>5</v>
      </c>
    </row>
    <row r="12" spans="1:14">
      <c r="A12" s="79" t="s">
        <v>1095</v>
      </c>
      <c r="B12" s="79" t="s">
        <v>1310</v>
      </c>
      <c r="C12" s="79">
        <v>978388044</v>
      </c>
      <c r="D12" s="79" t="s">
        <v>368</v>
      </c>
      <c r="E12" s="79" t="s">
        <v>1329</v>
      </c>
      <c r="F12" s="79" t="s">
        <v>1312</v>
      </c>
      <c r="G12" s="79" t="s">
        <v>1313</v>
      </c>
      <c r="H12" s="79">
        <v>1178029862</v>
      </c>
      <c r="I12" s="79" t="s">
        <v>1314</v>
      </c>
      <c r="J12" s="79">
        <v>4</v>
      </c>
      <c r="K12" s="79">
        <v>2</v>
      </c>
      <c r="L12" s="79">
        <v>5</v>
      </c>
      <c r="M12" s="79">
        <v>5.5</v>
      </c>
      <c r="N12" s="79">
        <v>4</v>
      </c>
    </row>
    <row r="13" spans="1:14">
      <c r="A13" s="79" t="s">
        <v>1130</v>
      </c>
      <c r="B13" s="79" t="s">
        <v>1310</v>
      </c>
      <c r="C13" s="79">
        <v>365263586</v>
      </c>
      <c r="D13" s="79" t="s">
        <v>373</v>
      </c>
      <c r="E13" s="79">
        <v>30901</v>
      </c>
      <c r="F13" s="79" t="s">
        <v>1312</v>
      </c>
      <c r="G13" s="79" t="s">
        <v>1313</v>
      </c>
      <c r="H13" s="79">
        <v>1184035063</v>
      </c>
      <c r="I13" s="79" t="s">
        <v>1314</v>
      </c>
      <c r="J13" s="79">
        <v>6</v>
      </c>
      <c r="K13" s="79">
        <v>5.5</v>
      </c>
      <c r="L13" s="79">
        <v>6.5</v>
      </c>
      <c r="M13" s="79">
        <v>6.5</v>
      </c>
      <c r="N13" s="79">
        <v>6</v>
      </c>
    </row>
    <row r="14" spans="1:14">
      <c r="A14" s="79" t="s">
        <v>1096</v>
      </c>
      <c r="B14" s="79" t="s">
        <v>1310</v>
      </c>
      <c r="C14" s="79">
        <v>968103693</v>
      </c>
      <c r="D14" s="79" t="s">
        <v>379</v>
      </c>
      <c r="E14" s="79" t="s">
        <v>1320</v>
      </c>
      <c r="F14" s="79" t="s">
        <v>1312</v>
      </c>
      <c r="G14" s="79" t="s">
        <v>1313</v>
      </c>
      <c r="H14" s="79">
        <v>1181004093</v>
      </c>
      <c r="I14" s="79" t="s">
        <v>1314</v>
      </c>
      <c r="J14" s="79">
        <v>4.5</v>
      </c>
      <c r="K14" s="79">
        <v>3.5</v>
      </c>
      <c r="L14" s="79">
        <v>5</v>
      </c>
      <c r="M14" s="79">
        <v>5.5</v>
      </c>
      <c r="N14" s="79">
        <v>4</v>
      </c>
    </row>
    <row r="15" spans="1:14">
      <c r="A15" s="79" t="s">
        <v>1115</v>
      </c>
      <c r="B15" s="79" t="s">
        <v>1310</v>
      </c>
      <c r="C15">
        <v>973116977</v>
      </c>
      <c r="D15" s="79" t="s">
        <v>385</v>
      </c>
      <c r="E15" t="s">
        <v>1320</v>
      </c>
      <c r="F15" s="79" t="s">
        <v>1312</v>
      </c>
      <c r="G15" s="79" t="s">
        <v>1313</v>
      </c>
      <c r="H15">
        <v>1174036478</v>
      </c>
      <c r="I15" s="79" t="s">
        <v>1314</v>
      </c>
      <c r="J15">
        <v>4.5</v>
      </c>
      <c r="K15">
        <v>2</v>
      </c>
      <c r="L15">
        <v>5.5</v>
      </c>
      <c r="M15">
        <v>5.5</v>
      </c>
      <c r="N15">
        <v>5.5</v>
      </c>
    </row>
    <row r="16" spans="1:14">
      <c r="A16" s="79" t="s">
        <v>1129</v>
      </c>
      <c r="B16" s="79" t="s">
        <v>1310</v>
      </c>
      <c r="C16">
        <v>972588455</v>
      </c>
      <c r="D16" s="79" t="s">
        <v>390</v>
      </c>
      <c r="E16">
        <v>28581</v>
      </c>
      <c r="F16" s="79" t="s">
        <v>1327</v>
      </c>
      <c r="G16" s="79" t="s">
        <v>1313</v>
      </c>
      <c r="H16">
        <v>1078028836</v>
      </c>
      <c r="I16" s="79" t="s">
        <v>1314</v>
      </c>
      <c r="J16">
        <v>5.5</v>
      </c>
      <c r="K16">
        <v>4.5</v>
      </c>
      <c r="L16">
        <v>4.5</v>
      </c>
      <c r="M16">
        <v>6.5</v>
      </c>
      <c r="N16">
        <v>5.5</v>
      </c>
    </row>
    <row r="17" spans="1:14">
      <c r="A17" s="79" t="s">
        <v>1123</v>
      </c>
      <c r="B17" s="79" t="s">
        <v>1310</v>
      </c>
      <c r="C17">
        <v>363602772</v>
      </c>
      <c r="D17" s="79" t="s">
        <v>398</v>
      </c>
      <c r="E17" t="s">
        <v>1330</v>
      </c>
      <c r="F17" s="79" t="s">
        <v>1312</v>
      </c>
      <c r="G17" s="79" t="s">
        <v>1313</v>
      </c>
      <c r="H17">
        <v>1196039158</v>
      </c>
      <c r="I17" s="79" t="s">
        <v>1314</v>
      </c>
      <c r="J17">
        <v>5.5</v>
      </c>
      <c r="K17">
        <v>4</v>
      </c>
      <c r="L17">
        <v>5.5</v>
      </c>
      <c r="M17">
        <v>6</v>
      </c>
      <c r="N17">
        <v>5.5</v>
      </c>
    </row>
    <row r="18" spans="1:14">
      <c r="A18" s="79" t="s">
        <v>661</v>
      </c>
      <c r="B18" s="79" t="s">
        <v>1310</v>
      </c>
      <c r="C18">
        <v>358060974</v>
      </c>
      <c r="D18" s="79" t="s">
        <v>404</v>
      </c>
      <c r="E18" t="s">
        <v>1320</v>
      </c>
      <c r="F18" s="79" t="s">
        <v>1312</v>
      </c>
      <c r="G18" s="79" t="s">
        <v>1313</v>
      </c>
      <c r="H18">
        <v>1175030348</v>
      </c>
      <c r="I18" s="79" t="s">
        <v>1314</v>
      </c>
      <c r="J18">
        <v>4.5</v>
      </c>
      <c r="K18">
        <v>3.5</v>
      </c>
      <c r="L18">
        <v>4</v>
      </c>
      <c r="M18">
        <v>6</v>
      </c>
      <c r="N18">
        <v>4.5</v>
      </c>
    </row>
    <row r="19" spans="1:14">
      <c r="A19" s="79" t="s">
        <v>662</v>
      </c>
      <c r="B19" s="79" t="s">
        <v>1310</v>
      </c>
      <c r="C19">
        <v>986244026</v>
      </c>
      <c r="D19" s="79" t="s">
        <v>410</v>
      </c>
      <c r="E19" t="s">
        <v>1331</v>
      </c>
      <c r="F19" s="79" t="s">
        <v>1312</v>
      </c>
      <c r="G19" s="79" t="s">
        <v>1313</v>
      </c>
      <c r="H19">
        <v>1177032960</v>
      </c>
      <c r="I19" s="79" t="s">
        <v>1314</v>
      </c>
      <c r="J19">
        <v>4.5</v>
      </c>
      <c r="K19">
        <v>3</v>
      </c>
      <c r="L19">
        <v>4.5</v>
      </c>
      <c r="M19">
        <v>5.5</v>
      </c>
      <c r="N19">
        <v>4.5</v>
      </c>
    </row>
    <row r="20" spans="1:14">
      <c r="A20" s="79" t="s">
        <v>1116</v>
      </c>
      <c r="B20" s="79" t="s">
        <v>1310</v>
      </c>
      <c r="C20">
        <v>975684918</v>
      </c>
      <c r="D20" s="79" t="s">
        <v>415</v>
      </c>
      <c r="E20">
        <v>28133</v>
      </c>
      <c r="F20" s="79" t="s">
        <v>1327</v>
      </c>
      <c r="G20" s="79" t="s">
        <v>1313</v>
      </c>
      <c r="H20">
        <v>1077036817</v>
      </c>
      <c r="I20" s="79" t="s">
        <v>1314</v>
      </c>
      <c r="J20">
        <v>5</v>
      </c>
      <c r="K20">
        <v>4</v>
      </c>
      <c r="L20">
        <v>4</v>
      </c>
      <c r="M20">
        <v>5.5</v>
      </c>
      <c r="N20">
        <v>5.5</v>
      </c>
    </row>
    <row r="21" spans="1:14">
      <c r="A21" s="79" t="s">
        <v>1128</v>
      </c>
      <c r="B21" s="79" t="s">
        <v>1310</v>
      </c>
      <c r="C21">
        <v>388450376</v>
      </c>
      <c r="D21" s="79" t="s">
        <v>421</v>
      </c>
      <c r="E21" t="s">
        <v>1332</v>
      </c>
      <c r="F21" s="79" t="s">
        <v>1327</v>
      </c>
      <c r="G21" s="79" t="s">
        <v>1313</v>
      </c>
      <c r="H21">
        <v>1076003003</v>
      </c>
      <c r="I21" s="79" t="s">
        <v>1314</v>
      </c>
      <c r="J21">
        <v>5.5</v>
      </c>
      <c r="K21">
        <v>5</v>
      </c>
      <c r="L21">
        <v>6</v>
      </c>
      <c r="M21">
        <v>6</v>
      </c>
      <c r="N21">
        <v>5</v>
      </c>
    </row>
    <row r="22" spans="1:14">
      <c r="A22" s="79" t="s">
        <v>1098</v>
      </c>
      <c r="B22" s="79" t="s">
        <v>1310</v>
      </c>
      <c r="C22">
        <v>367818233</v>
      </c>
      <c r="D22" s="79" t="s">
        <v>426</v>
      </c>
      <c r="E22" t="s">
        <v>1333</v>
      </c>
      <c r="F22" s="79" t="s">
        <v>1312</v>
      </c>
      <c r="G22" s="79" t="s">
        <v>1313</v>
      </c>
      <c r="H22">
        <v>34178005875</v>
      </c>
      <c r="I22" s="79" t="s">
        <v>1314</v>
      </c>
      <c r="J22">
        <v>4.5</v>
      </c>
      <c r="K22">
        <v>3.5</v>
      </c>
      <c r="L22">
        <v>4.5</v>
      </c>
      <c r="M22">
        <v>5.5</v>
      </c>
      <c r="N22">
        <v>4</v>
      </c>
    </row>
    <row r="23" spans="1:14">
      <c r="A23" s="79" t="s">
        <v>1102</v>
      </c>
      <c r="B23" s="79" t="s">
        <v>1310</v>
      </c>
      <c r="C23">
        <v>987307306</v>
      </c>
      <c r="D23" s="79" t="s">
        <v>432</v>
      </c>
      <c r="E23" t="s">
        <v>1334</v>
      </c>
      <c r="F23" s="79" t="s">
        <v>1327</v>
      </c>
      <c r="G23" s="79" t="s">
        <v>1313</v>
      </c>
      <c r="H23">
        <v>1079033488</v>
      </c>
      <c r="I23" s="79" t="s">
        <v>1314</v>
      </c>
      <c r="J23" t="s">
        <v>1335</v>
      </c>
      <c r="K23" t="s">
        <v>1335</v>
      </c>
      <c r="L23" t="s">
        <v>1335</v>
      </c>
      <c r="M23" t="s">
        <v>1335</v>
      </c>
      <c r="N23" t="s">
        <v>1335</v>
      </c>
    </row>
    <row r="24" spans="1:14">
      <c r="A24" s="79" t="s">
        <v>1124</v>
      </c>
      <c r="B24" s="79" t="s">
        <v>1310</v>
      </c>
      <c r="C24">
        <v>982134533</v>
      </c>
      <c r="D24" s="79" t="s">
        <v>439</v>
      </c>
      <c r="E24">
        <v>28491</v>
      </c>
      <c r="F24" s="79" t="s">
        <v>1312</v>
      </c>
      <c r="G24" s="79" t="s">
        <v>1313</v>
      </c>
      <c r="H24">
        <v>2178000027</v>
      </c>
      <c r="I24" s="79" t="s">
        <v>1314</v>
      </c>
      <c r="J24">
        <v>5.5</v>
      </c>
      <c r="K24">
        <v>5</v>
      </c>
      <c r="L24">
        <v>5.5</v>
      </c>
      <c r="M24">
        <v>6</v>
      </c>
      <c r="N24">
        <v>5</v>
      </c>
    </row>
    <row r="25" spans="1:14">
      <c r="A25" s="79" t="s">
        <v>1100</v>
      </c>
      <c r="B25" s="79" t="s">
        <v>1310</v>
      </c>
      <c r="C25">
        <v>983290903</v>
      </c>
      <c r="D25" s="79" t="s">
        <v>450</v>
      </c>
      <c r="E25">
        <v>28371</v>
      </c>
      <c r="F25" s="79" t="s">
        <v>1327</v>
      </c>
      <c r="G25" s="79" t="s">
        <v>1313</v>
      </c>
      <c r="H25">
        <v>1077040753</v>
      </c>
      <c r="I25" s="79" t="s">
        <v>1314</v>
      </c>
      <c r="J25" t="s">
        <v>1335</v>
      </c>
      <c r="N25" t="s">
        <v>1335</v>
      </c>
    </row>
    <row r="26" spans="1:14">
      <c r="A26" s="79" t="s">
        <v>1131</v>
      </c>
      <c r="B26" s="79" t="s">
        <v>1310</v>
      </c>
      <c r="C26">
        <v>967932583</v>
      </c>
      <c r="D26" s="79" t="s">
        <v>456</v>
      </c>
      <c r="E26">
        <v>29593</v>
      </c>
      <c r="F26" s="79" t="s">
        <v>1312</v>
      </c>
      <c r="G26" s="79" t="s">
        <v>1313</v>
      </c>
      <c r="H26">
        <v>26181006803</v>
      </c>
      <c r="I26" s="79" t="s">
        <v>1314</v>
      </c>
      <c r="J26">
        <v>5</v>
      </c>
      <c r="K26">
        <v>4</v>
      </c>
      <c r="L26">
        <v>5.5</v>
      </c>
      <c r="M26">
        <v>6</v>
      </c>
      <c r="N26">
        <v>5</v>
      </c>
    </row>
    <row r="27" spans="1:14">
      <c r="A27" s="79" t="s">
        <v>1105</v>
      </c>
      <c r="B27" s="79" t="s">
        <v>1310</v>
      </c>
      <c r="C27">
        <v>987380879</v>
      </c>
      <c r="D27" s="79" t="s">
        <v>459</v>
      </c>
      <c r="E27" t="s">
        <v>1336</v>
      </c>
      <c r="F27" s="79" t="s">
        <v>1312</v>
      </c>
      <c r="G27" s="79" t="s">
        <v>1313</v>
      </c>
      <c r="H27">
        <v>1176033068</v>
      </c>
      <c r="I27" s="79" t="s">
        <v>1314</v>
      </c>
      <c r="J27">
        <v>5</v>
      </c>
      <c r="K27">
        <v>4</v>
      </c>
      <c r="L27">
        <v>5.5</v>
      </c>
      <c r="M27">
        <v>5.5</v>
      </c>
      <c r="N27">
        <v>5.5</v>
      </c>
    </row>
    <row r="28" spans="1:14">
      <c r="A28" s="79" t="s">
        <v>1107</v>
      </c>
      <c r="B28" s="79" t="s">
        <v>1310</v>
      </c>
      <c r="C28">
        <v>962059966</v>
      </c>
      <c r="D28" s="79" t="s">
        <v>464</v>
      </c>
      <c r="E28" t="s">
        <v>1320</v>
      </c>
      <c r="F28" s="79" t="s">
        <v>1312</v>
      </c>
      <c r="G28" s="79" t="s">
        <v>1313</v>
      </c>
      <c r="H28">
        <v>1177017369</v>
      </c>
      <c r="I28" s="79" t="s">
        <v>1314</v>
      </c>
      <c r="J28">
        <v>4.5</v>
      </c>
      <c r="K28">
        <v>4</v>
      </c>
      <c r="L28">
        <v>4.5</v>
      </c>
      <c r="M28">
        <v>5.5</v>
      </c>
      <c r="N28">
        <v>4</v>
      </c>
    </row>
    <row r="29" spans="1:14">
      <c r="A29" s="79" t="s">
        <v>663</v>
      </c>
      <c r="B29" s="79" t="s">
        <v>1310</v>
      </c>
      <c r="C29">
        <v>989859935</v>
      </c>
      <c r="D29" s="79" t="s">
        <v>470</v>
      </c>
      <c r="E29">
        <v>27918</v>
      </c>
      <c r="F29" s="79" t="s">
        <v>1312</v>
      </c>
      <c r="G29" s="79" t="s">
        <v>1313</v>
      </c>
      <c r="H29">
        <v>1176048717</v>
      </c>
      <c r="I29" s="79" t="s">
        <v>1314</v>
      </c>
      <c r="J29">
        <v>4</v>
      </c>
      <c r="K29">
        <v>4</v>
      </c>
      <c r="L29">
        <v>3.5</v>
      </c>
      <c r="M29">
        <v>5</v>
      </c>
      <c r="N29">
        <v>4</v>
      </c>
    </row>
    <row r="30" spans="1:14">
      <c r="A30" s="79" t="s">
        <v>1155</v>
      </c>
      <c r="B30" s="79" t="s">
        <v>1310</v>
      </c>
      <c r="C30">
        <v>983322900</v>
      </c>
      <c r="D30" s="79" t="s">
        <v>475</v>
      </c>
      <c r="E30" t="s">
        <v>1338</v>
      </c>
      <c r="F30" s="79" t="s">
        <v>1312</v>
      </c>
      <c r="G30" s="79" t="s">
        <v>1313</v>
      </c>
      <c r="H30">
        <v>1184025932</v>
      </c>
      <c r="I30" s="79" t="s">
        <v>1314</v>
      </c>
      <c r="J30">
        <v>4.5</v>
      </c>
      <c r="K30">
        <v>3.5</v>
      </c>
      <c r="L30">
        <v>4</v>
      </c>
      <c r="M30">
        <v>6</v>
      </c>
      <c r="N30">
        <v>5</v>
      </c>
    </row>
    <row r="31" spans="1:14">
      <c r="A31" s="79" t="s">
        <v>1170</v>
      </c>
      <c r="B31" s="79" t="s">
        <v>1310</v>
      </c>
      <c r="C31">
        <v>368600286</v>
      </c>
      <c r="D31" s="79" t="s">
        <v>481</v>
      </c>
      <c r="E31" t="s">
        <v>1340</v>
      </c>
      <c r="F31" s="79" t="s">
        <v>1312</v>
      </c>
      <c r="G31" s="79" t="s">
        <v>1313</v>
      </c>
      <c r="H31">
        <v>1178021868</v>
      </c>
      <c r="I31" s="79" t="s">
        <v>1314</v>
      </c>
      <c r="J31">
        <v>6</v>
      </c>
      <c r="K31">
        <v>5.5</v>
      </c>
      <c r="L31">
        <v>6.5</v>
      </c>
      <c r="M31">
        <v>6</v>
      </c>
      <c r="N31">
        <v>5.5</v>
      </c>
    </row>
    <row r="32" spans="1:14">
      <c r="A32" s="79" t="s">
        <v>1092</v>
      </c>
      <c r="B32" s="79" t="s">
        <v>1310</v>
      </c>
      <c r="C32">
        <v>983985218</v>
      </c>
      <c r="D32" s="79" t="s">
        <v>487</v>
      </c>
      <c r="E32" t="s">
        <v>1341</v>
      </c>
      <c r="F32" s="79" t="s">
        <v>1312</v>
      </c>
      <c r="G32" s="79" t="s">
        <v>1313</v>
      </c>
      <c r="H32">
        <v>35185004411</v>
      </c>
      <c r="I32" s="79" t="s">
        <v>1314</v>
      </c>
      <c r="J32">
        <v>5</v>
      </c>
      <c r="K32">
        <v>4</v>
      </c>
      <c r="L32">
        <v>5.5</v>
      </c>
      <c r="M32">
        <v>5.5</v>
      </c>
      <c r="N32">
        <v>4.5</v>
      </c>
    </row>
    <row r="33" spans="1:14">
      <c r="A33" s="79" t="s">
        <v>1066</v>
      </c>
      <c r="B33" s="79" t="s">
        <v>1310</v>
      </c>
      <c r="C33">
        <v>984351978</v>
      </c>
      <c r="D33" s="79" t="s">
        <v>492</v>
      </c>
      <c r="E33" t="s">
        <v>1342</v>
      </c>
      <c r="F33" s="79" t="s">
        <v>1312</v>
      </c>
      <c r="G33" s="79" t="s">
        <v>1313</v>
      </c>
      <c r="H33">
        <v>1178029456</v>
      </c>
      <c r="I33" s="79" t="s">
        <v>1314</v>
      </c>
      <c r="J33" t="s">
        <v>1335</v>
      </c>
      <c r="N33" t="s">
        <v>1335</v>
      </c>
    </row>
    <row r="34" spans="1:14">
      <c r="A34" s="79" t="s">
        <v>1120</v>
      </c>
      <c r="B34" s="79" t="s">
        <v>1310</v>
      </c>
      <c r="C34">
        <v>963039411</v>
      </c>
      <c r="D34" s="79" t="s">
        <v>497</v>
      </c>
      <c r="E34" t="s">
        <v>1343</v>
      </c>
      <c r="F34" s="79" t="s">
        <v>1312</v>
      </c>
      <c r="G34" s="79" t="s">
        <v>1313</v>
      </c>
      <c r="H34">
        <v>1176053581</v>
      </c>
      <c r="I34" s="79" t="s">
        <v>1314</v>
      </c>
      <c r="J34">
        <v>5.5</v>
      </c>
      <c r="K34">
        <v>5</v>
      </c>
      <c r="L34">
        <v>5</v>
      </c>
      <c r="M34">
        <v>6</v>
      </c>
      <c r="N34">
        <v>5</v>
      </c>
    </row>
    <row r="35" spans="1:14">
      <c r="A35" s="79" t="s">
        <v>1133</v>
      </c>
      <c r="B35" s="79" t="s">
        <v>1310</v>
      </c>
      <c r="C35">
        <v>383636998</v>
      </c>
      <c r="D35" s="79" t="s">
        <v>502</v>
      </c>
      <c r="E35">
        <v>28738</v>
      </c>
      <c r="F35" s="79" t="s">
        <v>1312</v>
      </c>
      <c r="G35" s="79" t="s">
        <v>1313</v>
      </c>
      <c r="H35">
        <v>1178003953</v>
      </c>
      <c r="I35" s="79" t="s">
        <v>1314</v>
      </c>
      <c r="J35">
        <v>6.5</v>
      </c>
      <c r="K35">
        <v>5.5</v>
      </c>
      <c r="L35">
        <v>8.5</v>
      </c>
      <c r="M35">
        <v>6.5</v>
      </c>
      <c r="N35">
        <v>5.5</v>
      </c>
    </row>
    <row r="36" spans="1:14">
      <c r="A36" s="79" t="s">
        <v>1136</v>
      </c>
      <c r="B36" s="79" t="s">
        <v>1310</v>
      </c>
      <c r="C36">
        <v>985559286</v>
      </c>
      <c r="D36" s="79" t="s">
        <v>507</v>
      </c>
      <c r="E36" t="s">
        <v>1344</v>
      </c>
      <c r="F36" s="79" t="s">
        <v>1312</v>
      </c>
      <c r="G36" s="79" t="s">
        <v>1313</v>
      </c>
      <c r="H36">
        <v>1186019155</v>
      </c>
      <c r="I36" s="79" t="s">
        <v>1314</v>
      </c>
      <c r="J36">
        <v>5</v>
      </c>
      <c r="K36">
        <v>4</v>
      </c>
      <c r="L36">
        <v>6</v>
      </c>
      <c r="M36">
        <v>6</v>
      </c>
      <c r="N36">
        <v>4.5</v>
      </c>
    </row>
    <row r="37" spans="1:14">
      <c r="A37" s="79" t="s">
        <v>1097</v>
      </c>
      <c r="B37" s="79" t="s">
        <v>1310</v>
      </c>
      <c r="C37">
        <v>968029869</v>
      </c>
      <c r="D37" s="79" t="s">
        <v>512</v>
      </c>
      <c r="E37" t="s">
        <v>1320</v>
      </c>
      <c r="F37" s="79" t="s">
        <v>1312</v>
      </c>
      <c r="G37" s="79" t="s">
        <v>1313</v>
      </c>
      <c r="H37">
        <v>1178010346</v>
      </c>
      <c r="I37" s="79" t="s">
        <v>1314</v>
      </c>
      <c r="J37">
        <v>5</v>
      </c>
      <c r="K37">
        <v>4.5</v>
      </c>
      <c r="L37">
        <v>4.5</v>
      </c>
      <c r="M37">
        <v>5.5</v>
      </c>
      <c r="N37">
        <v>5.5</v>
      </c>
    </row>
    <row r="38" spans="1:14">
      <c r="A38" s="79" t="s">
        <v>664</v>
      </c>
      <c r="B38" s="79" t="s">
        <v>1310</v>
      </c>
      <c r="C38">
        <v>966363111</v>
      </c>
      <c r="D38" s="79" t="s">
        <v>517</v>
      </c>
      <c r="E38">
        <v>27920</v>
      </c>
      <c r="F38" s="79" t="s">
        <v>1312</v>
      </c>
      <c r="G38" s="79" t="s">
        <v>1313</v>
      </c>
      <c r="H38">
        <v>1176040670</v>
      </c>
      <c r="I38" s="79" t="s">
        <v>1314</v>
      </c>
      <c r="J38">
        <v>4.5</v>
      </c>
      <c r="K38">
        <v>3.5</v>
      </c>
      <c r="L38">
        <v>4.5</v>
      </c>
      <c r="M38">
        <v>5</v>
      </c>
      <c r="N38">
        <v>4</v>
      </c>
    </row>
    <row r="39" spans="1:14">
      <c r="A39" s="79" t="s">
        <v>1121</v>
      </c>
      <c r="B39" s="79" t="s">
        <v>1310</v>
      </c>
      <c r="C39">
        <v>396438297</v>
      </c>
      <c r="D39" s="79" t="s">
        <v>522</v>
      </c>
      <c r="E39" t="s">
        <v>1320</v>
      </c>
      <c r="F39" s="79" t="s">
        <v>1312</v>
      </c>
      <c r="G39" s="79" t="s">
        <v>1313</v>
      </c>
      <c r="H39">
        <v>1180020741</v>
      </c>
      <c r="I39" s="79" t="s">
        <v>1314</v>
      </c>
      <c r="J39">
        <v>5</v>
      </c>
      <c r="K39">
        <v>4</v>
      </c>
      <c r="L39">
        <v>4.5</v>
      </c>
      <c r="M39">
        <v>6</v>
      </c>
      <c r="N39">
        <v>5.5</v>
      </c>
    </row>
    <row r="40" spans="1:14">
      <c r="A40" s="79" t="s">
        <v>1118</v>
      </c>
      <c r="B40" s="79" t="s">
        <v>1310</v>
      </c>
      <c r="C40">
        <v>964927026</v>
      </c>
      <c r="D40" s="79" t="s">
        <v>527</v>
      </c>
      <c r="E40" t="s">
        <v>1345</v>
      </c>
      <c r="F40" s="79" t="s">
        <v>1312</v>
      </c>
      <c r="G40" s="79" t="s">
        <v>1313</v>
      </c>
      <c r="H40">
        <v>1194006005</v>
      </c>
      <c r="I40" s="79" t="s">
        <v>1314</v>
      </c>
      <c r="J40">
        <v>5</v>
      </c>
      <c r="K40">
        <v>4</v>
      </c>
      <c r="L40">
        <v>5.5</v>
      </c>
      <c r="M40">
        <v>6</v>
      </c>
      <c r="N40">
        <v>5</v>
      </c>
    </row>
    <row r="41" spans="1:14">
      <c r="A41" s="79" t="s">
        <v>665</v>
      </c>
      <c r="B41" s="79" t="s">
        <v>1310</v>
      </c>
      <c r="C41">
        <v>984681216</v>
      </c>
      <c r="D41" s="79" t="s">
        <v>536</v>
      </c>
      <c r="E41" t="s">
        <v>1346</v>
      </c>
      <c r="F41" s="79" t="s">
        <v>1312</v>
      </c>
      <c r="G41" s="79" t="s">
        <v>1313</v>
      </c>
      <c r="H41">
        <v>1175014156</v>
      </c>
      <c r="I41" s="79" t="s">
        <v>1314</v>
      </c>
      <c r="J41">
        <v>4.5</v>
      </c>
      <c r="K41">
        <v>3</v>
      </c>
      <c r="L41">
        <v>4.5</v>
      </c>
      <c r="M41">
        <v>5.5</v>
      </c>
      <c r="N41">
        <v>4.5</v>
      </c>
    </row>
    <row r="42" spans="1:14">
      <c r="A42" s="79" t="s">
        <v>1151</v>
      </c>
      <c r="B42" s="79" t="s">
        <v>1310</v>
      </c>
      <c r="C42">
        <v>982851438</v>
      </c>
      <c r="D42" s="79" t="s">
        <v>542</v>
      </c>
      <c r="E42" t="s">
        <v>1348</v>
      </c>
      <c r="F42" s="79" t="s">
        <v>1327</v>
      </c>
      <c r="G42" s="79" t="s">
        <v>1313</v>
      </c>
      <c r="H42">
        <v>1079050226</v>
      </c>
      <c r="I42" s="79" t="s">
        <v>1314</v>
      </c>
      <c r="J42">
        <v>5</v>
      </c>
      <c r="K42">
        <v>4.5</v>
      </c>
      <c r="L42">
        <v>5</v>
      </c>
      <c r="M42">
        <v>5.5</v>
      </c>
      <c r="N42">
        <v>5</v>
      </c>
    </row>
    <row r="43" spans="1:14">
      <c r="A43" s="79" t="s">
        <v>1111</v>
      </c>
      <c r="B43" s="79" t="s">
        <v>1310</v>
      </c>
      <c r="C43">
        <v>972512077</v>
      </c>
      <c r="D43" s="79" t="s">
        <v>547</v>
      </c>
      <c r="E43" t="s">
        <v>1320</v>
      </c>
      <c r="F43" s="79" t="s">
        <v>1327</v>
      </c>
      <c r="G43" s="79" t="s">
        <v>1313</v>
      </c>
      <c r="H43">
        <v>1077024738</v>
      </c>
      <c r="I43" s="79" t="s">
        <v>1314</v>
      </c>
      <c r="J43">
        <v>4.5</v>
      </c>
      <c r="K43">
        <v>3.5</v>
      </c>
      <c r="L43">
        <v>4</v>
      </c>
      <c r="M43">
        <v>5.5</v>
      </c>
      <c r="N43">
        <v>4.5</v>
      </c>
    </row>
    <row r="44" spans="1:14">
      <c r="A44" s="79" t="s">
        <v>1187</v>
      </c>
      <c r="B44" s="79" t="s">
        <v>1310</v>
      </c>
      <c r="C44">
        <v>978128811</v>
      </c>
      <c r="D44" s="79" t="s">
        <v>553</v>
      </c>
      <c r="E44" t="s">
        <v>1350</v>
      </c>
      <c r="F44" s="79" t="s">
        <v>1312</v>
      </c>
      <c r="G44" s="79" t="s">
        <v>1313</v>
      </c>
      <c r="H44">
        <v>1177009345</v>
      </c>
      <c r="I44" s="79" t="s">
        <v>1314</v>
      </c>
      <c r="J44">
        <v>5.5</v>
      </c>
      <c r="K44">
        <v>4.5</v>
      </c>
      <c r="L44">
        <v>5.5</v>
      </c>
      <c r="M44">
        <v>6</v>
      </c>
      <c r="N44">
        <v>6</v>
      </c>
    </row>
    <row r="45" spans="1:14">
      <c r="A45" s="79" t="s">
        <v>1094</v>
      </c>
      <c r="B45" s="79" t="s">
        <v>1310</v>
      </c>
      <c r="C45">
        <v>379908976</v>
      </c>
      <c r="D45" s="79" t="s">
        <v>559</v>
      </c>
      <c r="E45" t="s">
        <v>1320</v>
      </c>
      <c r="F45" s="79" t="s">
        <v>1312</v>
      </c>
      <c r="G45" s="79" t="s">
        <v>1313</v>
      </c>
      <c r="H45">
        <v>1176046134</v>
      </c>
      <c r="I45" s="79" t="s">
        <v>1314</v>
      </c>
      <c r="J45">
        <v>4.5</v>
      </c>
      <c r="K45">
        <v>3.5</v>
      </c>
      <c r="L45">
        <v>4.5</v>
      </c>
      <c r="M45">
        <v>5.5</v>
      </c>
      <c r="N45">
        <v>5</v>
      </c>
    </row>
    <row r="46" spans="1:14">
      <c r="A46" s="79" t="s">
        <v>1127</v>
      </c>
      <c r="B46" s="79" t="s">
        <v>1310</v>
      </c>
      <c r="C46">
        <v>989487205</v>
      </c>
      <c r="D46" s="79" t="s">
        <v>568</v>
      </c>
      <c r="E46" t="s">
        <v>1351</v>
      </c>
      <c r="F46" s="79" t="s">
        <v>1312</v>
      </c>
      <c r="G46" s="79" t="s">
        <v>1313</v>
      </c>
      <c r="H46">
        <v>1179028050</v>
      </c>
      <c r="I46" s="79" t="s">
        <v>1314</v>
      </c>
      <c r="J46">
        <v>5</v>
      </c>
      <c r="K46">
        <v>3.5</v>
      </c>
      <c r="L46">
        <v>6</v>
      </c>
      <c r="M46">
        <v>5</v>
      </c>
      <c r="N46">
        <v>5.5</v>
      </c>
    </row>
    <row r="47" spans="1:14">
      <c r="A47" s="79" t="s">
        <v>1134</v>
      </c>
      <c r="B47" s="79" t="s">
        <v>1310</v>
      </c>
      <c r="C47">
        <v>904089860</v>
      </c>
      <c r="D47" s="79" t="s">
        <v>579</v>
      </c>
      <c r="E47" t="s">
        <v>1320</v>
      </c>
      <c r="F47" s="79" t="s">
        <v>1312</v>
      </c>
      <c r="G47" s="79" t="s">
        <v>1313</v>
      </c>
      <c r="H47">
        <v>1180056849</v>
      </c>
      <c r="I47" s="79" t="s">
        <v>1314</v>
      </c>
      <c r="J47">
        <v>6</v>
      </c>
      <c r="K47">
        <v>5</v>
      </c>
      <c r="L47">
        <v>6.5</v>
      </c>
      <c r="M47">
        <v>6</v>
      </c>
      <c r="N47">
        <v>6</v>
      </c>
    </row>
    <row r="48" spans="1:14">
      <c r="A48" s="79" t="s">
        <v>667</v>
      </c>
      <c r="B48" s="79" t="s">
        <v>1310</v>
      </c>
      <c r="C48">
        <v>389690842</v>
      </c>
      <c r="D48" s="79" t="s">
        <v>585</v>
      </c>
      <c r="E48" t="s">
        <v>1352</v>
      </c>
      <c r="F48" s="79" t="s">
        <v>1312</v>
      </c>
      <c r="G48" s="79" t="s">
        <v>1313</v>
      </c>
      <c r="H48">
        <v>1177009537</v>
      </c>
      <c r="I48" s="79" t="s">
        <v>1314</v>
      </c>
      <c r="J48">
        <v>4</v>
      </c>
      <c r="K48">
        <v>3.5</v>
      </c>
      <c r="L48">
        <v>4.5</v>
      </c>
      <c r="M48">
        <v>5</v>
      </c>
      <c r="N48">
        <v>3.5</v>
      </c>
    </row>
    <row r="49" spans="1:14">
      <c r="A49" s="79" t="s">
        <v>1106</v>
      </c>
      <c r="B49" s="79" t="s">
        <v>1310</v>
      </c>
      <c r="C49">
        <v>973103979</v>
      </c>
      <c r="D49" s="79" t="s">
        <v>591</v>
      </c>
      <c r="E49">
        <v>27578</v>
      </c>
      <c r="F49" s="79" t="s">
        <v>1327</v>
      </c>
      <c r="G49" s="79" t="s">
        <v>1313</v>
      </c>
      <c r="H49">
        <v>1075010580</v>
      </c>
      <c r="I49" s="79" t="s">
        <v>1314</v>
      </c>
      <c r="J49">
        <v>4.5</v>
      </c>
      <c r="K49">
        <v>4</v>
      </c>
      <c r="L49">
        <v>4.5</v>
      </c>
      <c r="M49">
        <v>5.5</v>
      </c>
      <c r="N49">
        <v>4</v>
      </c>
    </row>
    <row r="50" spans="1:14">
      <c r="A50" s="79" t="s">
        <v>1117</v>
      </c>
      <c r="B50" s="79" t="s">
        <v>1310</v>
      </c>
      <c r="C50">
        <v>969535875</v>
      </c>
      <c r="D50" s="79" t="s">
        <v>608</v>
      </c>
      <c r="E50" t="s">
        <v>1353</v>
      </c>
      <c r="F50" s="79" t="s">
        <v>1312</v>
      </c>
      <c r="G50" s="79" t="s">
        <v>1313</v>
      </c>
      <c r="H50">
        <v>1175023937</v>
      </c>
      <c r="I50" s="79" t="s">
        <v>1314</v>
      </c>
      <c r="J50">
        <v>5</v>
      </c>
      <c r="K50">
        <v>4.5</v>
      </c>
      <c r="L50">
        <v>5</v>
      </c>
      <c r="M50">
        <v>5.5</v>
      </c>
      <c r="N50">
        <v>4.5</v>
      </c>
    </row>
    <row r="51" spans="1:14">
      <c r="A51" s="79" t="s">
        <v>1109</v>
      </c>
      <c r="B51" s="79" t="s">
        <v>1310</v>
      </c>
      <c r="C51">
        <v>986332160</v>
      </c>
      <c r="D51" s="79" t="s">
        <v>613</v>
      </c>
      <c r="E51" t="s">
        <v>1320</v>
      </c>
      <c r="F51" s="79" t="s">
        <v>1312</v>
      </c>
      <c r="G51" s="79" t="s">
        <v>1313</v>
      </c>
      <c r="H51">
        <v>26179008039</v>
      </c>
      <c r="I51" s="79" t="s">
        <v>1314</v>
      </c>
      <c r="J51">
        <v>5</v>
      </c>
      <c r="K51">
        <v>3.5</v>
      </c>
      <c r="L51">
        <v>4.5</v>
      </c>
      <c r="M51">
        <v>6</v>
      </c>
      <c r="N51">
        <v>5</v>
      </c>
    </row>
    <row r="52" spans="1:14">
      <c r="A52" s="79" t="s">
        <v>1110</v>
      </c>
      <c r="B52" s="79" t="s">
        <v>1310</v>
      </c>
      <c r="C52">
        <v>986414558</v>
      </c>
      <c r="D52" s="79" t="s">
        <v>618</v>
      </c>
      <c r="E52" t="s">
        <v>1354</v>
      </c>
      <c r="F52" s="79" t="s">
        <v>1312</v>
      </c>
      <c r="G52" s="79" t="s">
        <v>1313</v>
      </c>
      <c r="H52">
        <v>1176004956</v>
      </c>
      <c r="I52" s="79" t="s">
        <v>1314</v>
      </c>
      <c r="J52">
        <v>4.5</v>
      </c>
      <c r="K52">
        <v>4</v>
      </c>
      <c r="L52">
        <v>3.5</v>
      </c>
      <c r="M52">
        <v>6</v>
      </c>
      <c r="N52">
        <v>5</v>
      </c>
    </row>
    <row r="53" spans="1:14">
      <c r="A53" s="79" t="s">
        <v>669</v>
      </c>
      <c r="B53" s="79" t="s">
        <v>1310</v>
      </c>
      <c r="C53">
        <v>977604640</v>
      </c>
      <c r="D53" s="79" t="s">
        <v>1355</v>
      </c>
      <c r="E53" t="s">
        <v>1356</v>
      </c>
      <c r="F53" s="79" t="s">
        <v>1312</v>
      </c>
      <c r="G53" s="79" t="s">
        <v>1313</v>
      </c>
      <c r="H53">
        <v>26183003026</v>
      </c>
      <c r="I53" s="79" t="s">
        <v>1314</v>
      </c>
      <c r="J53">
        <v>5</v>
      </c>
      <c r="K53">
        <v>4</v>
      </c>
      <c r="L53">
        <v>5</v>
      </c>
      <c r="M53">
        <v>6</v>
      </c>
      <c r="N53">
        <v>4</v>
      </c>
    </row>
    <row r="54" spans="1:14">
      <c r="A54" s="79" t="s">
        <v>668</v>
      </c>
      <c r="B54" s="79" t="s">
        <v>1310</v>
      </c>
      <c r="C54">
        <v>978933637</v>
      </c>
      <c r="D54" s="79" t="s">
        <v>597</v>
      </c>
      <c r="E54" t="s">
        <v>1320</v>
      </c>
      <c r="F54" s="79" t="s">
        <v>1312</v>
      </c>
      <c r="G54" s="79" t="s">
        <v>1313</v>
      </c>
      <c r="H54">
        <v>1177043501</v>
      </c>
      <c r="I54" s="79" t="s">
        <v>1314</v>
      </c>
      <c r="J54">
        <v>3.5</v>
      </c>
      <c r="K54">
        <v>2</v>
      </c>
      <c r="L54">
        <v>4</v>
      </c>
      <c r="M54">
        <v>4</v>
      </c>
      <c r="N54">
        <v>4</v>
      </c>
    </row>
    <row r="55" spans="1:14">
      <c r="A55" s="79" t="s">
        <v>1157</v>
      </c>
      <c r="B55" s="79" t="s">
        <v>1310</v>
      </c>
      <c r="C55">
        <v>868688187</v>
      </c>
      <c r="D55" s="79" t="s">
        <v>603</v>
      </c>
      <c r="E55" t="s">
        <v>1358</v>
      </c>
      <c r="F55" s="79" t="s">
        <v>1312</v>
      </c>
      <c r="G55" s="79" t="s">
        <v>1313</v>
      </c>
      <c r="H55">
        <v>1187041867</v>
      </c>
      <c r="I55" s="79" t="s">
        <v>1314</v>
      </c>
      <c r="J55">
        <v>5.5</v>
      </c>
      <c r="K55">
        <v>4.5</v>
      </c>
      <c r="L55">
        <v>6</v>
      </c>
      <c r="M55">
        <v>6</v>
      </c>
      <c r="N55">
        <v>5</v>
      </c>
    </row>
    <row r="56" spans="1:14">
      <c r="A56" s="79" t="s">
        <v>1108</v>
      </c>
      <c r="B56" s="79" t="s">
        <v>1310</v>
      </c>
      <c r="C56">
        <v>966686279</v>
      </c>
      <c r="D56" s="79" t="s">
        <v>636</v>
      </c>
      <c r="E56" t="s">
        <v>1359</v>
      </c>
      <c r="F56" s="79" t="s">
        <v>1312</v>
      </c>
      <c r="G56" s="79" t="s">
        <v>1313</v>
      </c>
      <c r="H56">
        <v>1175013832</v>
      </c>
      <c r="I56" s="79" t="s">
        <v>1314</v>
      </c>
      <c r="J56" t="s">
        <v>1335</v>
      </c>
      <c r="N56" t="s">
        <v>1335</v>
      </c>
    </row>
    <row r="57" spans="1:14">
      <c r="A57" s="79" t="s">
        <v>1185</v>
      </c>
      <c r="B57" s="79" t="s">
        <v>1310</v>
      </c>
      <c r="C57">
        <v>967808833</v>
      </c>
      <c r="D57" s="79" t="s">
        <v>643</v>
      </c>
      <c r="E57" t="s">
        <v>1360</v>
      </c>
      <c r="F57" s="79" t="s">
        <v>1312</v>
      </c>
      <c r="G57" s="79" t="s">
        <v>1313</v>
      </c>
      <c r="H57">
        <v>42178004339</v>
      </c>
      <c r="I57" s="79" t="s">
        <v>1314</v>
      </c>
      <c r="J57">
        <v>5.5</v>
      </c>
      <c r="K57">
        <v>5</v>
      </c>
      <c r="L57">
        <v>6</v>
      </c>
      <c r="M57">
        <v>6</v>
      </c>
      <c r="N57">
        <v>5.5</v>
      </c>
    </row>
    <row r="58" spans="1:14">
      <c r="A58" s="79" t="s">
        <v>670</v>
      </c>
      <c r="B58" s="79" t="s">
        <v>1310</v>
      </c>
      <c r="C58">
        <v>986763117</v>
      </c>
      <c r="D58" s="79" t="s">
        <v>650</v>
      </c>
      <c r="E58" t="s">
        <v>1361</v>
      </c>
      <c r="F58" s="79" t="s">
        <v>1327</v>
      </c>
      <c r="G58" s="79" t="s">
        <v>1313</v>
      </c>
      <c r="H58">
        <v>1075011375</v>
      </c>
      <c r="I58" s="79" t="s">
        <v>1314</v>
      </c>
      <c r="J58">
        <v>3.5</v>
      </c>
      <c r="K58">
        <v>2</v>
      </c>
      <c r="L58">
        <v>4.5</v>
      </c>
      <c r="M58">
        <v>4</v>
      </c>
      <c r="N58">
        <v>4</v>
      </c>
    </row>
    <row r="59" spans="1:14">
      <c r="A59" s="79" t="s">
        <v>1122</v>
      </c>
      <c r="B59" s="79" t="s">
        <v>1310</v>
      </c>
      <c r="C59">
        <v>982213478</v>
      </c>
      <c r="D59" s="79" t="s">
        <v>656</v>
      </c>
      <c r="E59" t="s">
        <v>1362</v>
      </c>
      <c r="F59" s="79" t="s">
        <v>1312</v>
      </c>
      <c r="G59" s="79" t="s">
        <v>1313</v>
      </c>
      <c r="H59">
        <v>1178013783</v>
      </c>
      <c r="I59" s="79" t="s">
        <v>1314</v>
      </c>
      <c r="J59">
        <v>5.5</v>
      </c>
      <c r="K59">
        <v>5.5</v>
      </c>
      <c r="L59">
        <v>6</v>
      </c>
      <c r="M59">
        <v>5.5</v>
      </c>
      <c r="N59">
        <v>5.5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6A82-3365-431D-B493-D4070C943DCF}">
  <sheetPr codeName="Sheet24"/>
  <dimension ref="A1:U141"/>
  <sheetViews>
    <sheetView workbookViewId="0">
      <selection sqref="A1:U141"/>
    </sheetView>
  </sheetViews>
  <sheetFormatPr defaultRowHeight="15"/>
  <cols>
    <col min="1" max="1" width="11.140625" bestFit="1" customWidth="1"/>
    <col min="2" max="2" width="22.85546875" bestFit="1" customWidth="1"/>
    <col min="3" max="3" width="25.28515625" bestFit="1" customWidth="1"/>
    <col min="4" max="6" width="11.140625" bestFit="1" customWidth="1"/>
    <col min="7" max="7" width="23.140625" bestFit="1" customWidth="1"/>
    <col min="8" max="8" width="11.7109375" bestFit="1" customWidth="1"/>
    <col min="9" max="9" width="25.140625" bestFit="1" customWidth="1"/>
    <col min="10" max="10" width="46" bestFit="1" customWidth="1"/>
    <col min="11" max="21" width="12.140625" bestFit="1" customWidth="1"/>
  </cols>
  <sheetData>
    <row r="1" spans="1:21">
      <c r="A1" s="79" t="s">
        <v>660</v>
      </c>
      <c r="B1" s="79" t="s">
        <v>671</v>
      </c>
      <c r="C1" s="79" t="s">
        <v>1366</v>
      </c>
      <c r="D1" s="79" t="s">
        <v>672</v>
      </c>
      <c r="E1" s="79" t="s">
        <v>673</v>
      </c>
      <c r="F1" s="79" t="s">
        <v>686</v>
      </c>
      <c r="G1" s="79" t="s">
        <v>687</v>
      </c>
      <c r="H1" s="79" t="s">
        <v>688</v>
      </c>
      <c r="I1" s="79" t="s">
        <v>689</v>
      </c>
      <c r="J1" s="79" t="s">
        <v>690</v>
      </c>
      <c r="K1" s="79" t="s">
        <v>691</v>
      </c>
      <c r="L1" s="79" t="s">
        <v>692</v>
      </c>
      <c r="M1" s="79" t="s">
        <v>693</v>
      </c>
      <c r="N1" s="79" t="s">
        <v>694</v>
      </c>
      <c r="O1" s="79" t="s">
        <v>695</v>
      </c>
      <c r="P1" s="79" t="s">
        <v>696</v>
      </c>
      <c r="Q1" s="79" t="s">
        <v>697</v>
      </c>
      <c r="R1" s="79" t="s">
        <v>698</v>
      </c>
      <c r="S1" s="79" t="s">
        <v>699</v>
      </c>
      <c r="T1" s="79" t="s">
        <v>1364</v>
      </c>
      <c r="U1" s="79" t="s">
        <v>1365</v>
      </c>
    </row>
    <row r="2" spans="1:21">
      <c r="A2" s="79">
        <v>341</v>
      </c>
      <c r="B2" s="79" t="s">
        <v>57</v>
      </c>
      <c r="C2" s="79" t="s">
        <v>668</v>
      </c>
      <c r="D2" s="79" t="s">
        <v>1215</v>
      </c>
      <c r="E2" s="79">
        <v>1977</v>
      </c>
      <c r="F2" s="79" t="s">
        <v>30</v>
      </c>
      <c r="G2" s="79" t="s">
        <v>58</v>
      </c>
      <c r="H2" s="79" t="s">
        <v>59</v>
      </c>
      <c r="I2" s="79">
        <v>1177043501</v>
      </c>
      <c r="J2" s="79" t="s">
        <v>315</v>
      </c>
      <c r="K2" s="79">
        <v>18</v>
      </c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>
      <c r="A3" s="79">
        <v>342</v>
      </c>
      <c r="B3" s="79" t="s">
        <v>60</v>
      </c>
      <c r="C3" s="79" t="s">
        <v>664</v>
      </c>
      <c r="D3" s="79" t="s">
        <v>1216</v>
      </c>
      <c r="E3" s="79">
        <v>1976</v>
      </c>
      <c r="F3" s="79" t="s">
        <v>21</v>
      </c>
      <c r="G3" s="79" t="s">
        <v>26</v>
      </c>
      <c r="H3" s="79" t="s">
        <v>61</v>
      </c>
      <c r="I3" s="79" t="s">
        <v>518</v>
      </c>
      <c r="J3" s="79" t="s">
        <v>315</v>
      </c>
      <c r="K3" s="79">
        <v>18</v>
      </c>
      <c r="L3" s="79"/>
      <c r="M3" s="79"/>
      <c r="N3" s="79"/>
      <c r="O3" s="79"/>
      <c r="P3" s="79"/>
      <c r="Q3" s="79"/>
      <c r="R3" s="79"/>
      <c r="S3" s="79"/>
      <c r="T3" s="79"/>
      <c r="U3" s="79"/>
    </row>
    <row r="4" spans="1:21">
      <c r="A4" s="79">
        <v>343</v>
      </c>
      <c r="B4" s="79" t="s">
        <v>685</v>
      </c>
      <c r="C4" s="79" t="s">
        <v>684</v>
      </c>
      <c r="D4" s="79" t="s">
        <v>1218</v>
      </c>
      <c r="E4" s="79">
        <v>1977</v>
      </c>
      <c r="F4" s="79" t="s">
        <v>21</v>
      </c>
      <c r="G4" s="79" t="s">
        <v>62</v>
      </c>
      <c r="H4" s="79" t="s">
        <v>61</v>
      </c>
      <c r="I4" s="79" t="s">
        <v>715</v>
      </c>
      <c r="J4" s="79" t="s">
        <v>711</v>
      </c>
      <c r="K4" s="79">
        <v>18</v>
      </c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1:21">
      <c r="A5" s="79">
        <v>344</v>
      </c>
      <c r="B5" s="79" t="s">
        <v>63</v>
      </c>
      <c r="C5" s="79" t="s">
        <v>670</v>
      </c>
      <c r="D5" s="79" t="s">
        <v>1220</v>
      </c>
      <c r="E5" s="79">
        <v>1975</v>
      </c>
      <c r="F5" s="79" t="s">
        <v>21</v>
      </c>
      <c r="G5" s="79" t="s">
        <v>64</v>
      </c>
      <c r="H5" s="79" t="s">
        <v>27</v>
      </c>
      <c r="I5" s="79" t="s">
        <v>651</v>
      </c>
      <c r="J5" s="79" t="s">
        <v>315</v>
      </c>
      <c r="K5" s="79">
        <v>18</v>
      </c>
      <c r="L5" s="79"/>
      <c r="M5" s="79"/>
      <c r="N5" s="79"/>
      <c r="O5" s="79"/>
      <c r="P5" s="79"/>
      <c r="Q5" s="79"/>
      <c r="R5" s="79"/>
      <c r="S5" s="79"/>
      <c r="T5" s="79"/>
      <c r="U5" s="79"/>
    </row>
    <row r="6" spans="1:21">
      <c r="A6" s="79">
        <v>345</v>
      </c>
      <c r="B6" s="79" t="s">
        <v>65</v>
      </c>
      <c r="C6" s="79" t="s">
        <v>667</v>
      </c>
      <c r="D6" s="79" t="s">
        <v>1221</v>
      </c>
      <c r="E6" s="79">
        <v>1977</v>
      </c>
      <c r="F6" s="79" t="s">
        <v>21</v>
      </c>
      <c r="G6" s="79" t="s">
        <v>66</v>
      </c>
      <c r="H6" s="79" t="s">
        <v>27</v>
      </c>
      <c r="I6" s="79" t="s">
        <v>586</v>
      </c>
      <c r="J6" s="79" t="s">
        <v>394</v>
      </c>
      <c r="K6" s="79">
        <v>18</v>
      </c>
      <c r="L6" s="79"/>
      <c r="M6" s="79"/>
      <c r="N6" s="79"/>
      <c r="O6" s="79"/>
      <c r="P6" s="79"/>
      <c r="Q6" s="79"/>
      <c r="R6" s="79"/>
      <c r="S6" s="79"/>
      <c r="T6" s="79"/>
      <c r="U6" s="79"/>
    </row>
    <row r="7" spans="1:21">
      <c r="A7" s="79">
        <v>4</v>
      </c>
      <c r="B7" s="79" t="s">
        <v>67</v>
      </c>
      <c r="C7" s="79" t="s">
        <v>669</v>
      </c>
      <c r="D7" s="79" t="s">
        <v>1223</v>
      </c>
      <c r="E7" s="79">
        <v>1983</v>
      </c>
      <c r="F7" s="79" t="s">
        <v>19</v>
      </c>
      <c r="G7" s="79" t="s">
        <v>68</v>
      </c>
      <c r="H7" s="79" t="s">
        <v>20</v>
      </c>
      <c r="I7" s="79" t="s">
        <v>1211</v>
      </c>
      <c r="J7" s="79" t="s">
        <v>377</v>
      </c>
      <c r="K7" s="79">
        <v>18</v>
      </c>
      <c r="L7" s="79"/>
      <c r="M7" s="79"/>
      <c r="N7" s="79"/>
      <c r="O7" s="79"/>
      <c r="P7" s="79"/>
      <c r="Q7" s="79"/>
      <c r="R7" s="79"/>
      <c r="S7" s="79"/>
      <c r="T7" s="79"/>
      <c r="U7" s="79"/>
    </row>
    <row r="8" spans="1:21">
      <c r="A8" s="79">
        <v>347</v>
      </c>
      <c r="B8" s="79" t="s">
        <v>69</v>
      </c>
      <c r="C8" s="79" t="s">
        <v>661</v>
      </c>
      <c r="D8" s="79" t="s">
        <v>1225</v>
      </c>
      <c r="E8" s="79">
        <v>1975</v>
      </c>
      <c r="F8" s="79" t="s">
        <v>21</v>
      </c>
      <c r="G8" s="79" t="s">
        <v>70</v>
      </c>
      <c r="H8" s="79" t="s">
        <v>71</v>
      </c>
      <c r="I8" s="79" t="s">
        <v>405</v>
      </c>
      <c r="J8" s="79" t="s">
        <v>315</v>
      </c>
      <c r="K8" s="79">
        <v>18</v>
      </c>
      <c r="L8" s="79"/>
      <c r="M8" s="79"/>
      <c r="N8" s="79"/>
      <c r="O8" s="79"/>
      <c r="P8" s="79"/>
      <c r="Q8" s="79"/>
      <c r="R8" s="79"/>
      <c r="S8" s="79"/>
      <c r="T8" s="79"/>
      <c r="U8" s="79"/>
    </row>
    <row r="9" spans="1:21">
      <c r="A9" s="79">
        <v>348</v>
      </c>
      <c r="B9" s="79" t="s">
        <v>72</v>
      </c>
      <c r="C9" s="79" t="s">
        <v>662</v>
      </c>
      <c r="D9" s="79" t="s">
        <v>1226</v>
      </c>
      <c r="E9" s="79">
        <v>1977</v>
      </c>
      <c r="F9" s="79" t="s">
        <v>19</v>
      </c>
      <c r="G9" s="79" t="s">
        <v>73</v>
      </c>
      <c r="H9" s="79" t="s">
        <v>71</v>
      </c>
      <c r="I9" s="79" t="s">
        <v>411</v>
      </c>
      <c r="J9" s="79" t="s">
        <v>377</v>
      </c>
      <c r="K9" s="79">
        <v>18</v>
      </c>
      <c r="L9" s="79"/>
      <c r="M9" s="79"/>
      <c r="N9" s="79"/>
      <c r="O9" s="79"/>
      <c r="P9" s="79"/>
      <c r="Q9" s="79"/>
      <c r="R9" s="79"/>
      <c r="S9" s="79"/>
      <c r="T9" s="79"/>
      <c r="U9" s="79"/>
    </row>
    <row r="10" spans="1:21">
      <c r="A10">
        <v>349</v>
      </c>
      <c r="B10" s="79" t="s">
        <v>74</v>
      </c>
      <c r="C10" s="79" t="s">
        <v>665</v>
      </c>
      <c r="D10" s="79" t="s">
        <v>1227</v>
      </c>
      <c r="E10">
        <v>1975</v>
      </c>
      <c r="F10" s="79" t="s">
        <v>21</v>
      </c>
      <c r="G10" s="79" t="s">
        <v>75</v>
      </c>
      <c r="H10" s="79" t="s">
        <v>76</v>
      </c>
      <c r="I10" t="s">
        <v>537</v>
      </c>
      <c r="J10" t="s">
        <v>315</v>
      </c>
      <c r="K10">
        <v>18</v>
      </c>
    </row>
    <row r="11" spans="1:21">
      <c r="A11">
        <v>350</v>
      </c>
      <c r="B11" s="79" t="s">
        <v>77</v>
      </c>
      <c r="C11" s="79" t="s">
        <v>663</v>
      </c>
      <c r="D11" s="79" t="s">
        <v>1228</v>
      </c>
      <c r="E11">
        <v>1976</v>
      </c>
      <c r="F11" s="79" t="s">
        <v>21</v>
      </c>
      <c r="G11" s="79" t="s">
        <v>78</v>
      </c>
      <c r="H11" s="79" t="s">
        <v>76</v>
      </c>
      <c r="I11" t="s">
        <v>471</v>
      </c>
      <c r="J11" t="s">
        <v>394</v>
      </c>
      <c r="K11">
        <v>18</v>
      </c>
    </row>
    <row r="12" spans="1:21">
      <c r="A12">
        <v>351</v>
      </c>
      <c r="B12" s="79" t="s">
        <v>79</v>
      </c>
      <c r="C12" s="79" t="s">
        <v>678</v>
      </c>
      <c r="D12" s="79" t="s">
        <v>1217</v>
      </c>
      <c r="E12">
        <v>1975</v>
      </c>
      <c r="F12" s="79" t="s">
        <v>21</v>
      </c>
      <c r="G12" s="79" t="s">
        <v>80</v>
      </c>
      <c r="H12" s="79" t="s">
        <v>81</v>
      </c>
      <c r="I12">
        <v>0</v>
      </c>
      <c r="J12">
        <v>0</v>
      </c>
      <c r="K12">
        <v>18</v>
      </c>
    </row>
    <row r="13" spans="1:21">
      <c r="A13">
        <v>352</v>
      </c>
      <c r="B13" s="79" t="s">
        <v>82</v>
      </c>
      <c r="C13" s="79" t="s">
        <v>683</v>
      </c>
      <c r="D13" s="79" t="s">
        <v>1229</v>
      </c>
      <c r="E13">
        <v>1984</v>
      </c>
      <c r="F13" s="79" t="s">
        <v>21</v>
      </c>
      <c r="G13" s="79" t="s">
        <v>83</v>
      </c>
      <c r="H13" s="79" t="s">
        <v>81</v>
      </c>
      <c r="I13">
        <v>1184022018</v>
      </c>
      <c r="J13" t="s">
        <v>394</v>
      </c>
      <c r="K13">
        <v>18</v>
      </c>
    </row>
    <row r="14" spans="1:21">
      <c r="A14">
        <v>353</v>
      </c>
      <c r="B14" s="79" t="s">
        <v>84</v>
      </c>
      <c r="C14" s="79" t="s">
        <v>680</v>
      </c>
      <c r="D14" s="79" t="s">
        <v>1230</v>
      </c>
      <c r="E14">
        <v>1976</v>
      </c>
      <c r="F14" s="79" t="s">
        <v>21</v>
      </c>
      <c r="G14" s="79" t="s">
        <v>83</v>
      </c>
      <c r="H14" s="79" t="s">
        <v>81</v>
      </c>
      <c r="I14" t="s">
        <v>1010</v>
      </c>
      <c r="J14" t="s">
        <v>394</v>
      </c>
      <c r="K14">
        <v>18</v>
      </c>
    </row>
    <row r="15" spans="1:21">
      <c r="A15">
        <v>354</v>
      </c>
      <c r="B15" s="79" t="s">
        <v>85</v>
      </c>
      <c r="C15" s="79" t="s">
        <v>675</v>
      </c>
      <c r="D15" s="79" t="s">
        <v>1231</v>
      </c>
      <c r="E15">
        <v>1974</v>
      </c>
      <c r="F15" s="79" t="s">
        <v>21</v>
      </c>
      <c r="G15" s="79" t="s">
        <v>86</v>
      </c>
      <c r="H15" s="79" t="s">
        <v>81</v>
      </c>
      <c r="I15">
        <v>1074022571</v>
      </c>
      <c r="J15" t="s">
        <v>315</v>
      </c>
      <c r="K15">
        <v>18</v>
      </c>
    </row>
    <row r="16" spans="1:21">
      <c r="A16">
        <v>355</v>
      </c>
      <c r="B16" s="79" t="s">
        <v>87</v>
      </c>
      <c r="C16" s="79" t="s">
        <v>676</v>
      </c>
      <c r="D16" s="79" t="s">
        <v>1232</v>
      </c>
      <c r="E16">
        <v>1984</v>
      </c>
      <c r="F16" s="79" t="s">
        <v>19</v>
      </c>
      <c r="G16" s="79" t="s">
        <v>88</v>
      </c>
      <c r="H16" s="79" t="s">
        <v>20</v>
      </c>
      <c r="I16">
        <v>1184030240</v>
      </c>
      <c r="J16" t="s">
        <v>654</v>
      </c>
      <c r="K16">
        <v>18</v>
      </c>
    </row>
    <row r="17" spans="1:11">
      <c r="A17">
        <v>356</v>
      </c>
      <c r="B17" s="79" t="s">
        <v>89</v>
      </c>
      <c r="C17" s="79" t="s">
        <v>682</v>
      </c>
      <c r="D17" s="79" t="s">
        <v>1234</v>
      </c>
      <c r="E17">
        <v>1980</v>
      </c>
      <c r="F17" s="79" t="s">
        <v>19</v>
      </c>
      <c r="G17" s="79" t="s">
        <v>90</v>
      </c>
      <c r="H17" s="79" t="s">
        <v>91</v>
      </c>
      <c r="I17">
        <v>1180014694</v>
      </c>
      <c r="J17" t="s">
        <v>654</v>
      </c>
      <c r="K17">
        <v>18</v>
      </c>
    </row>
    <row r="18" spans="1:11">
      <c r="A18">
        <v>357</v>
      </c>
      <c r="B18" s="79" t="s">
        <v>92</v>
      </c>
      <c r="C18" s="79" t="s">
        <v>681</v>
      </c>
      <c r="D18" s="79" t="s">
        <v>1235</v>
      </c>
      <c r="E18">
        <v>1980</v>
      </c>
      <c r="F18" s="79" t="s">
        <v>19</v>
      </c>
      <c r="G18" s="79" t="s">
        <v>93</v>
      </c>
      <c r="H18" s="79" t="s">
        <v>94</v>
      </c>
      <c r="I18">
        <v>1180005662</v>
      </c>
      <c r="J18" t="s">
        <v>654</v>
      </c>
      <c r="K18">
        <v>18</v>
      </c>
    </row>
    <row r="19" spans="1:11">
      <c r="A19">
        <v>358</v>
      </c>
      <c r="B19" s="79" t="s">
        <v>95</v>
      </c>
      <c r="C19" s="79" t="s">
        <v>677</v>
      </c>
      <c r="D19" s="79" t="s">
        <v>1236</v>
      </c>
      <c r="E19">
        <v>1977</v>
      </c>
      <c r="F19" s="79" t="s">
        <v>19</v>
      </c>
      <c r="G19" s="79" t="s">
        <v>96</v>
      </c>
      <c r="H19" s="79" t="s">
        <v>97</v>
      </c>
      <c r="I19" t="s">
        <v>996</v>
      </c>
      <c r="J19" t="s">
        <v>654</v>
      </c>
      <c r="K19">
        <v>18</v>
      </c>
    </row>
    <row r="20" spans="1:11">
      <c r="A20">
        <v>359</v>
      </c>
      <c r="B20" s="79" t="s">
        <v>98</v>
      </c>
      <c r="C20" s="79" t="s">
        <v>679</v>
      </c>
      <c r="D20" s="79" t="s">
        <v>1237</v>
      </c>
      <c r="E20">
        <v>1977</v>
      </c>
      <c r="F20" s="79" t="s">
        <v>21</v>
      </c>
      <c r="G20" s="79" t="s">
        <v>99</v>
      </c>
      <c r="H20" s="79" t="s">
        <v>100</v>
      </c>
      <c r="I20">
        <v>27177000344</v>
      </c>
      <c r="J20" t="s">
        <v>315</v>
      </c>
      <c r="K20">
        <v>18</v>
      </c>
    </row>
    <row r="21" spans="1:11">
      <c r="A21">
        <v>360</v>
      </c>
      <c r="B21" s="79" t="s">
        <v>101</v>
      </c>
      <c r="C21" s="79" t="s">
        <v>674</v>
      </c>
      <c r="D21" s="79" t="s">
        <v>1238</v>
      </c>
      <c r="E21">
        <v>1976</v>
      </c>
      <c r="F21" s="79" t="s">
        <v>21</v>
      </c>
      <c r="G21" s="79" t="s">
        <v>99</v>
      </c>
      <c r="H21" s="79" t="s">
        <v>100</v>
      </c>
      <c r="I21">
        <v>1176045858</v>
      </c>
      <c r="J21" t="s">
        <v>315</v>
      </c>
      <c r="K21">
        <v>18</v>
      </c>
    </row>
    <row r="22" spans="1:11">
      <c r="A22">
        <v>361</v>
      </c>
      <c r="B22" s="79" t="s">
        <v>102</v>
      </c>
      <c r="C22" s="79" t="s">
        <v>1094</v>
      </c>
      <c r="D22" s="79" t="s">
        <v>1239</v>
      </c>
      <c r="E22">
        <v>1976</v>
      </c>
      <c r="F22" s="79" t="s">
        <v>21</v>
      </c>
      <c r="G22" s="79" t="s">
        <v>44</v>
      </c>
      <c r="H22" s="79" t="s">
        <v>100</v>
      </c>
      <c r="I22" t="s">
        <v>560</v>
      </c>
      <c r="J22" t="s">
        <v>315</v>
      </c>
      <c r="K22">
        <v>19</v>
      </c>
    </row>
    <row r="23" spans="1:11">
      <c r="A23">
        <v>362</v>
      </c>
      <c r="B23" s="79" t="s">
        <v>103</v>
      </c>
      <c r="C23" s="79" t="s">
        <v>1145</v>
      </c>
      <c r="D23" s="79" t="s">
        <v>1230</v>
      </c>
      <c r="E23">
        <v>1975</v>
      </c>
      <c r="F23" s="79" t="s">
        <v>21</v>
      </c>
      <c r="G23" s="79" t="s">
        <v>104</v>
      </c>
      <c r="H23" s="79" t="s">
        <v>20</v>
      </c>
      <c r="I23" t="s">
        <v>493</v>
      </c>
      <c r="J23" t="s">
        <v>327</v>
      </c>
      <c r="K23">
        <v>19</v>
      </c>
    </row>
    <row r="24" spans="1:11">
      <c r="A24">
        <v>363</v>
      </c>
      <c r="B24" s="79" t="s">
        <v>105</v>
      </c>
      <c r="C24" s="79" t="s">
        <v>1367</v>
      </c>
      <c r="D24" s="79" t="s">
        <v>1240</v>
      </c>
      <c r="E24">
        <v>1975</v>
      </c>
      <c r="F24" s="79" t="s">
        <v>21</v>
      </c>
      <c r="G24" s="79" t="s">
        <v>48</v>
      </c>
      <c r="H24" s="79" t="s">
        <v>100</v>
      </c>
      <c r="I24" t="s">
        <v>488</v>
      </c>
      <c r="J24" t="s">
        <v>358</v>
      </c>
      <c r="K24">
        <v>19</v>
      </c>
    </row>
    <row r="25" spans="1:11">
      <c r="A25">
        <v>364</v>
      </c>
      <c r="B25" s="79" t="s">
        <v>106</v>
      </c>
      <c r="C25" s="79" t="s">
        <v>1368</v>
      </c>
      <c r="D25" s="79" t="s">
        <v>1241</v>
      </c>
      <c r="E25">
        <v>1984</v>
      </c>
      <c r="F25" s="79" t="s">
        <v>30</v>
      </c>
      <c r="G25" s="79" t="s">
        <v>107</v>
      </c>
      <c r="H25" s="79" t="s">
        <v>100</v>
      </c>
      <c r="I25" t="s">
        <v>427</v>
      </c>
      <c r="J25" t="s">
        <v>377</v>
      </c>
      <c r="K25">
        <v>19</v>
      </c>
    </row>
    <row r="26" spans="1:11">
      <c r="A26">
        <v>365</v>
      </c>
      <c r="B26" s="79" t="s">
        <v>108</v>
      </c>
      <c r="C26" s="79" t="s">
        <v>1074</v>
      </c>
      <c r="D26" s="79" t="s">
        <v>1242</v>
      </c>
      <c r="E26">
        <v>1976</v>
      </c>
      <c r="F26" s="79" t="s">
        <v>30</v>
      </c>
      <c r="G26" s="79" t="s">
        <v>107</v>
      </c>
      <c r="H26" s="79" t="s">
        <v>100</v>
      </c>
      <c r="I26" t="s">
        <v>380</v>
      </c>
      <c r="J26" t="s">
        <v>377</v>
      </c>
      <c r="K26">
        <v>19</v>
      </c>
    </row>
    <row r="27" spans="1:11">
      <c r="A27">
        <v>366</v>
      </c>
      <c r="B27" s="79" t="s">
        <v>109</v>
      </c>
      <c r="C27" s="79" t="s">
        <v>1066</v>
      </c>
      <c r="D27" s="79" t="s">
        <v>1243</v>
      </c>
      <c r="E27">
        <v>1978</v>
      </c>
      <c r="F27" s="79" t="s">
        <v>30</v>
      </c>
      <c r="G27" s="79" t="s">
        <v>110</v>
      </c>
      <c r="H27" s="79" t="s">
        <v>100</v>
      </c>
      <c r="I27" t="s">
        <v>369</v>
      </c>
      <c r="J27" t="s">
        <v>315</v>
      </c>
      <c r="K27">
        <v>19</v>
      </c>
    </row>
    <row r="28" spans="1:11">
      <c r="A28">
        <v>367</v>
      </c>
      <c r="B28" s="79" t="s">
        <v>111</v>
      </c>
      <c r="C28" s="79" t="s">
        <v>1100</v>
      </c>
      <c r="D28" s="79" t="s">
        <v>1244</v>
      </c>
      <c r="E28">
        <v>1977</v>
      </c>
      <c r="F28" s="79" t="s">
        <v>30</v>
      </c>
      <c r="G28" s="79" t="s">
        <v>110</v>
      </c>
      <c r="H28" s="79" t="s">
        <v>100</v>
      </c>
      <c r="I28" t="s">
        <v>451</v>
      </c>
      <c r="J28" t="s">
        <v>327</v>
      </c>
      <c r="K28">
        <v>19</v>
      </c>
    </row>
    <row r="29" spans="1:11">
      <c r="A29">
        <v>368</v>
      </c>
      <c r="B29" s="79" t="s">
        <v>112</v>
      </c>
      <c r="C29" s="79" t="s">
        <v>1092</v>
      </c>
      <c r="D29" s="79" t="s">
        <v>1245</v>
      </c>
      <c r="E29">
        <v>1985</v>
      </c>
      <c r="F29" s="79" t="s">
        <v>30</v>
      </c>
      <c r="G29" s="79" t="s">
        <v>113</v>
      </c>
      <c r="H29" s="79" t="s">
        <v>114</v>
      </c>
      <c r="I29">
        <v>35185004411</v>
      </c>
      <c r="J29" t="s">
        <v>358</v>
      </c>
      <c r="K29">
        <v>19</v>
      </c>
    </row>
    <row r="30" spans="1:11">
      <c r="A30">
        <v>369</v>
      </c>
      <c r="B30" s="79" t="s">
        <v>115</v>
      </c>
      <c r="C30" s="79" t="s">
        <v>1077</v>
      </c>
      <c r="D30" s="79" t="s">
        <v>1246</v>
      </c>
      <c r="E30">
        <v>1987</v>
      </c>
      <c r="F30" s="79" t="s">
        <v>19</v>
      </c>
      <c r="G30" s="79" t="s">
        <v>116</v>
      </c>
      <c r="H30" s="79" t="s">
        <v>61</v>
      </c>
      <c r="I30" t="s">
        <v>845</v>
      </c>
      <c r="J30" t="s">
        <v>840</v>
      </c>
      <c r="K30">
        <v>19</v>
      </c>
    </row>
    <row r="31" spans="1:11">
      <c r="A31">
        <v>370</v>
      </c>
      <c r="B31" s="79" t="s">
        <v>117</v>
      </c>
      <c r="C31" s="79" t="s">
        <v>1147</v>
      </c>
      <c r="D31" s="79" t="s">
        <v>1216</v>
      </c>
      <c r="E31">
        <v>1983</v>
      </c>
      <c r="F31" s="79" t="s">
        <v>19</v>
      </c>
      <c r="G31" s="79" t="s">
        <v>118</v>
      </c>
      <c r="H31" s="79" t="s">
        <v>71</v>
      </c>
      <c r="I31" t="s">
        <v>895</v>
      </c>
      <c r="J31" t="s">
        <v>327</v>
      </c>
      <c r="K31">
        <v>19</v>
      </c>
    </row>
    <row r="32" spans="1:11">
      <c r="A32">
        <v>371</v>
      </c>
      <c r="B32" s="79" t="s">
        <v>119</v>
      </c>
      <c r="C32" s="79" t="s">
        <v>1148</v>
      </c>
      <c r="D32" s="79" t="s">
        <v>1247</v>
      </c>
      <c r="E32">
        <v>1984</v>
      </c>
      <c r="F32" s="79" t="s">
        <v>19</v>
      </c>
      <c r="G32" s="79" t="s">
        <v>120</v>
      </c>
      <c r="H32" s="79" t="s">
        <v>121</v>
      </c>
      <c r="I32" t="s">
        <v>940</v>
      </c>
      <c r="J32" t="s">
        <v>327</v>
      </c>
      <c r="K32">
        <v>19</v>
      </c>
    </row>
    <row r="33" spans="1:11">
      <c r="A33">
        <v>372</v>
      </c>
      <c r="B33" s="79" t="s">
        <v>122</v>
      </c>
      <c r="C33" s="79" t="s">
        <v>1098</v>
      </c>
      <c r="D33" s="79" t="s">
        <v>1222</v>
      </c>
      <c r="E33">
        <v>1978</v>
      </c>
      <c r="F33" s="79" t="s">
        <v>19</v>
      </c>
      <c r="G33" s="79" t="s">
        <v>123</v>
      </c>
      <c r="H33" s="79" t="s">
        <v>71</v>
      </c>
      <c r="I33" t="s">
        <v>962</v>
      </c>
      <c r="J33" t="s">
        <v>654</v>
      </c>
      <c r="K33">
        <v>19</v>
      </c>
    </row>
    <row r="34" spans="1:11">
      <c r="A34">
        <v>373</v>
      </c>
      <c r="B34" s="79" t="s">
        <v>124</v>
      </c>
      <c r="C34" s="79" t="s">
        <v>1059</v>
      </c>
      <c r="D34" s="79" t="s">
        <v>1248</v>
      </c>
      <c r="E34">
        <v>1985</v>
      </c>
      <c r="F34" s="79" t="s">
        <v>19</v>
      </c>
      <c r="G34" s="79" t="s">
        <v>125</v>
      </c>
      <c r="H34" s="79" t="s">
        <v>61</v>
      </c>
      <c r="I34" t="s">
        <v>1024</v>
      </c>
      <c r="J34" t="s">
        <v>327</v>
      </c>
      <c r="K34">
        <v>19</v>
      </c>
    </row>
    <row r="35" spans="1:11">
      <c r="A35">
        <v>374</v>
      </c>
      <c r="B35" s="79" t="s">
        <v>126</v>
      </c>
      <c r="C35" s="79" t="s">
        <v>1096</v>
      </c>
      <c r="D35" s="79" t="s">
        <v>1236</v>
      </c>
      <c r="E35">
        <v>1981</v>
      </c>
      <c r="F35" s="79" t="s">
        <v>19</v>
      </c>
      <c r="G35" s="79" t="s">
        <v>127</v>
      </c>
      <c r="H35" s="79" t="s">
        <v>121</v>
      </c>
      <c r="I35" t="s">
        <v>1189</v>
      </c>
      <c r="J35" t="s">
        <v>377</v>
      </c>
      <c r="K35">
        <v>19</v>
      </c>
    </row>
    <row r="36" spans="1:11">
      <c r="A36">
        <v>375</v>
      </c>
      <c r="B36" s="79" t="s">
        <v>128</v>
      </c>
      <c r="C36" s="79" t="s">
        <v>1149</v>
      </c>
      <c r="D36" s="79" t="s">
        <v>1230</v>
      </c>
      <c r="E36">
        <v>1982</v>
      </c>
      <c r="F36" s="79" t="s">
        <v>19</v>
      </c>
      <c r="G36" s="79" t="s">
        <v>129</v>
      </c>
      <c r="H36" s="79" t="s">
        <v>27</v>
      </c>
      <c r="I36">
        <v>987892839</v>
      </c>
      <c r="J36" t="s">
        <v>734</v>
      </c>
      <c r="K36">
        <v>19</v>
      </c>
    </row>
    <row r="37" spans="1:11">
      <c r="A37">
        <v>376</v>
      </c>
      <c r="B37" s="79" t="s">
        <v>130</v>
      </c>
      <c r="C37" s="79" t="s">
        <v>1095</v>
      </c>
      <c r="D37" s="79" t="s">
        <v>1229</v>
      </c>
      <c r="E37">
        <v>1978</v>
      </c>
      <c r="F37" s="79" t="s">
        <v>21</v>
      </c>
      <c r="G37" s="79" t="s">
        <v>64</v>
      </c>
      <c r="H37" s="79" t="s">
        <v>27</v>
      </c>
      <c r="I37">
        <v>1178029862</v>
      </c>
      <c r="J37" t="s">
        <v>315</v>
      </c>
      <c r="K37">
        <v>19</v>
      </c>
    </row>
    <row r="38" spans="1:11">
      <c r="A38">
        <v>377</v>
      </c>
      <c r="B38" s="79" t="s">
        <v>132</v>
      </c>
      <c r="C38" s="79" t="s">
        <v>1097</v>
      </c>
      <c r="D38" s="79" t="s">
        <v>1249</v>
      </c>
      <c r="E38">
        <v>1978</v>
      </c>
      <c r="F38" s="79" t="s">
        <v>21</v>
      </c>
      <c r="G38" s="79" t="s">
        <v>133</v>
      </c>
      <c r="H38" s="79" t="s">
        <v>27</v>
      </c>
      <c r="I38">
        <v>1178010346</v>
      </c>
      <c r="J38" t="s">
        <v>315</v>
      </c>
      <c r="K38">
        <v>19</v>
      </c>
    </row>
    <row r="39" spans="1:11">
      <c r="A39">
        <v>378</v>
      </c>
      <c r="B39" s="79" t="s">
        <v>134</v>
      </c>
      <c r="C39" s="79" t="s">
        <v>1150</v>
      </c>
      <c r="D39" s="79" t="s">
        <v>1246</v>
      </c>
      <c r="E39">
        <v>1982</v>
      </c>
      <c r="F39" s="79" t="s">
        <v>21</v>
      </c>
      <c r="G39" s="79" t="s">
        <v>34</v>
      </c>
      <c r="H39" s="79" t="s">
        <v>27</v>
      </c>
      <c r="I39">
        <v>26182001327</v>
      </c>
      <c r="J39" t="s">
        <v>315</v>
      </c>
      <c r="K39">
        <v>19</v>
      </c>
    </row>
    <row r="40" spans="1:11">
      <c r="A40">
        <v>379</v>
      </c>
      <c r="B40" s="79" t="s">
        <v>135</v>
      </c>
      <c r="C40" s="79" t="s">
        <v>1151</v>
      </c>
      <c r="D40" s="79" t="s">
        <v>1250</v>
      </c>
      <c r="E40">
        <v>1979</v>
      </c>
      <c r="F40" s="79" t="s">
        <v>21</v>
      </c>
      <c r="G40" s="79" t="s">
        <v>34</v>
      </c>
      <c r="H40" s="79" t="s">
        <v>27</v>
      </c>
      <c r="I40">
        <v>1079050226</v>
      </c>
      <c r="J40" t="s">
        <v>315</v>
      </c>
      <c r="K40">
        <v>19</v>
      </c>
    </row>
    <row r="41" spans="1:11">
      <c r="A41">
        <v>380</v>
      </c>
      <c r="B41" s="79" t="s">
        <v>37</v>
      </c>
      <c r="C41" s="79" t="s">
        <v>1152</v>
      </c>
      <c r="D41" s="79" t="s">
        <v>1251</v>
      </c>
      <c r="E41">
        <v>1981</v>
      </c>
      <c r="F41" s="79" t="s">
        <v>21</v>
      </c>
      <c r="G41" s="79" t="s">
        <v>34</v>
      </c>
      <c r="H41" s="79" t="s">
        <v>27</v>
      </c>
      <c r="I41">
        <v>1181043471</v>
      </c>
      <c r="J41" t="s">
        <v>315</v>
      </c>
      <c r="K41">
        <v>19</v>
      </c>
    </row>
    <row r="42" spans="1:11">
      <c r="A42">
        <v>381</v>
      </c>
      <c r="B42" s="79" t="s">
        <v>136</v>
      </c>
      <c r="C42" s="79" t="s">
        <v>1109</v>
      </c>
      <c r="D42" s="79" t="s">
        <v>1252</v>
      </c>
      <c r="E42">
        <v>1979</v>
      </c>
      <c r="F42" s="79" t="s">
        <v>21</v>
      </c>
      <c r="G42" s="79" t="s">
        <v>26</v>
      </c>
      <c r="H42" s="79" t="s">
        <v>61</v>
      </c>
      <c r="I42" t="s">
        <v>1212</v>
      </c>
      <c r="J42" t="s">
        <v>430</v>
      </c>
      <c r="K42">
        <v>20</v>
      </c>
    </row>
    <row r="43" spans="1:11">
      <c r="A43">
        <v>382</v>
      </c>
      <c r="B43" s="79" t="s">
        <v>137</v>
      </c>
      <c r="C43" s="79" t="s">
        <v>1154</v>
      </c>
      <c r="D43" s="79" t="s">
        <v>1230</v>
      </c>
      <c r="E43">
        <v>1983</v>
      </c>
      <c r="F43" s="79" t="s">
        <v>19</v>
      </c>
      <c r="G43" s="79" t="s">
        <v>138</v>
      </c>
      <c r="H43" s="79" t="s">
        <v>39</v>
      </c>
      <c r="I43" t="s">
        <v>460</v>
      </c>
      <c r="J43" t="s">
        <v>315</v>
      </c>
      <c r="K43">
        <v>20</v>
      </c>
    </row>
    <row r="44" spans="1:11">
      <c r="A44">
        <v>383</v>
      </c>
      <c r="B44" s="79" t="s">
        <v>139</v>
      </c>
      <c r="C44" s="79" t="s">
        <v>1155</v>
      </c>
      <c r="D44" s="79" t="s">
        <v>1253</v>
      </c>
      <c r="E44">
        <v>1984</v>
      </c>
      <c r="F44" s="79" t="s">
        <v>21</v>
      </c>
      <c r="G44" s="79" t="s">
        <v>140</v>
      </c>
      <c r="H44" s="79" t="s">
        <v>61</v>
      </c>
      <c r="I44" t="s">
        <v>592</v>
      </c>
      <c r="J44" t="s">
        <v>315</v>
      </c>
      <c r="K44">
        <v>20</v>
      </c>
    </row>
    <row r="45" spans="1:11">
      <c r="A45">
        <v>384</v>
      </c>
      <c r="B45" s="79" t="s">
        <v>141</v>
      </c>
      <c r="C45" s="79" t="s">
        <v>1102</v>
      </c>
      <c r="D45" s="79" t="s">
        <v>1254</v>
      </c>
      <c r="E45">
        <v>1979</v>
      </c>
      <c r="F45" s="79" t="s">
        <v>21</v>
      </c>
      <c r="G45" s="79" t="s">
        <v>70</v>
      </c>
      <c r="H45" s="79" t="s">
        <v>71</v>
      </c>
      <c r="I45" t="s">
        <v>465</v>
      </c>
      <c r="J45" t="s">
        <v>315</v>
      </c>
      <c r="K45">
        <v>20</v>
      </c>
    </row>
    <row r="46" spans="1:11">
      <c r="A46">
        <v>385</v>
      </c>
      <c r="B46" s="79" t="s">
        <v>142</v>
      </c>
      <c r="C46" s="79" t="s">
        <v>1111</v>
      </c>
      <c r="D46" s="79" t="s">
        <v>1255</v>
      </c>
      <c r="E46">
        <v>1977</v>
      </c>
      <c r="F46" s="79" t="s">
        <v>21</v>
      </c>
      <c r="G46" s="79" t="s">
        <v>143</v>
      </c>
      <c r="H46" s="79" t="s">
        <v>121</v>
      </c>
      <c r="I46" t="s">
        <v>637</v>
      </c>
      <c r="J46" t="s">
        <v>315</v>
      </c>
      <c r="K46">
        <v>20</v>
      </c>
    </row>
    <row r="47" spans="1:11">
      <c r="A47">
        <v>386</v>
      </c>
      <c r="B47" s="79" t="s">
        <v>144</v>
      </c>
      <c r="C47" s="79" t="s">
        <v>1065</v>
      </c>
      <c r="D47" s="79" t="s">
        <v>1256</v>
      </c>
      <c r="E47">
        <v>1996</v>
      </c>
      <c r="F47" s="79" t="s">
        <v>19</v>
      </c>
      <c r="G47" s="79" t="s">
        <v>145</v>
      </c>
      <c r="H47" s="79" t="s">
        <v>146</v>
      </c>
      <c r="I47" t="s">
        <v>614</v>
      </c>
      <c r="J47" t="s">
        <v>315</v>
      </c>
      <c r="K47">
        <v>20</v>
      </c>
    </row>
    <row r="48" spans="1:11">
      <c r="A48">
        <v>387</v>
      </c>
      <c r="B48" s="79" t="s">
        <v>147</v>
      </c>
      <c r="C48" s="79" t="s">
        <v>1087</v>
      </c>
      <c r="D48" s="79" t="s">
        <v>1257</v>
      </c>
      <c r="E48">
        <v>1979</v>
      </c>
      <c r="F48" s="79" t="s">
        <v>30</v>
      </c>
      <c r="G48" s="79" t="s">
        <v>148</v>
      </c>
      <c r="H48" s="79" t="s">
        <v>149</v>
      </c>
      <c r="I48" t="s">
        <v>619</v>
      </c>
      <c r="J48" t="s">
        <v>327</v>
      </c>
      <c r="K48">
        <v>20</v>
      </c>
    </row>
    <row r="49" spans="1:11">
      <c r="A49">
        <v>388</v>
      </c>
      <c r="B49" s="79" t="s">
        <v>150</v>
      </c>
      <c r="C49" s="79" t="s">
        <v>1113</v>
      </c>
      <c r="D49" s="79" t="s">
        <v>1254</v>
      </c>
      <c r="E49">
        <v>1977</v>
      </c>
      <c r="F49" s="79" t="s">
        <v>30</v>
      </c>
      <c r="G49" s="79" t="s">
        <v>151</v>
      </c>
      <c r="H49" s="79" t="s">
        <v>81</v>
      </c>
      <c r="I49" t="s">
        <v>548</v>
      </c>
      <c r="J49" t="s">
        <v>315</v>
      </c>
      <c r="K49">
        <v>20</v>
      </c>
    </row>
    <row r="50" spans="1:11">
      <c r="A50">
        <v>389</v>
      </c>
      <c r="B50" s="79" t="s">
        <v>152</v>
      </c>
      <c r="C50" s="79" t="s">
        <v>1110</v>
      </c>
      <c r="D50" s="79" t="s">
        <v>1244</v>
      </c>
      <c r="E50">
        <v>1976</v>
      </c>
      <c r="F50" s="79" t="s">
        <v>30</v>
      </c>
      <c r="G50" s="79" t="s">
        <v>153</v>
      </c>
      <c r="H50" s="79" t="s">
        <v>76</v>
      </c>
      <c r="I50" t="s">
        <v>366</v>
      </c>
      <c r="J50" t="s">
        <v>327</v>
      </c>
      <c r="K50">
        <v>20</v>
      </c>
    </row>
    <row r="51" spans="1:11">
      <c r="A51">
        <v>390</v>
      </c>
      <c r="B51" s="79" t="s">
        <v>154</v>
      </c>
      <c r="C51" s="79" t="s">
        <v>1156</v>
      </c>
      <c r="D51" s="79" t="s">
        <v>1259</v>
      </c>
      <c r="E51">
        <v>1975</v>
      </c>
      <c r="F51" s="79" t="s">
        <v>30</v>
      </c>
      <c r="G51" s="79" t="s">
        <v>148</v>
      </c>
      <c r="H51" s="79" t="s">
        <v>149</v>
      </c>
      <c r="I51" t="s">
        <v>724</v>
      </c>
      <c r="J51" t="s">
        <v>315</v>
      </c>
      <c r="K51">
        <v>20</v>
      </c>
    </row>
    <row r="52" spans="1:11">
      <c r="A52">
        <v>391</v>
      </c>
      <c r="B52" s="79" t="s">
        <v>155</v>
      </c>
      <c r="C52" s="79" t="s">
        <v>1114</v>
      </c>
      <c r="D52" s="79" t="s">
        <v>1260</v>
      </c>
      <c r="E52">
        <v>1978</v>
      </c>
      <c r="F52" s="79" t="s">
        <v>21</v>
      </c>
      <c r="G52" s="79" t="s">
        <v>156</v>
      </c>
      <c r="H52" s="79" t="s">
        <v>157</v>
      </c>
      <c r="I52" t="s">
        <v>830</v>
      </c>
      <c r="J52" t="s">
        <v>394</v>
      </c>
      <c r="K52">
        <v>20</v>
      </c>
    </row>
    <row r="53" spans="1:11">
      <c r="A53">
        <v>392</v>
      </c>
      <c r="B53" s="79" t="s">
        <v>158</v>
      </c>
      <c r="C53" s="79" t="s">
        <v>1086</v>
      </c>
      <c r="D53" s="79" t="s">
        <v>1261</v>
      </c>
      <c r="E53">
        <v>1976</v>
      </c>
      <c r="F53" s="79" t="s">
        <v>21</v>
      </c>
      <c r="G53" s="79" t="s">
        <v>156</v>
      </c>
      <c r="H53" s="79" t="s">
        <v>157</v>
      </c>
      <c r="I53" t="s">
        <v>889</v>
      </c>
      <c r="J53" t="s">
        <v>315</v>
      </c>
      <c r="K53">
        <v>20</v>
      </c>
    </row>
    <row r="54" spans="1:11">
      <c r="A54">
        <v>393</v>
      </c>
      <c r="B54" s="79" t="s">
        <v>159</v>
      </c>
      <c r="C54" s="79" t="s">
        <v>1107</v>
      </c>
      <c r="D54" s="79" t="s">
        <v>1249</v>
      </c>
      <c r="E54">
        <v>1977</v>
      </c>
      <c r="F54" s="79" t="s">
        <v>21</v>
      </c>
      <c r="G54" s="79" t="s">
        <v>160</v>
      </c>
      <c r="H54" s="79" t="s">
        <v>76</v>
      </c>
      <c r="I54" t="s">
        <v>977</v>
      </c>
      <c r="J54" t="s">
        <v>315</v>
      </c>
      <c r="K54">
        <v>20</v>
      </c>
    </row>
    <row r="55" spans="1:11">
      <c r="A55">
        <v>394</v>
      </c>
      <c r="B55" s="79" t="s">
        <v>161</v>
      </c>
      <c r="C55" s="79" t="s">
        <v>1106</v>
      </c>
      <c r="D55" s="79" t="s">
        <v>1262</v>
      </c>
      <c r="E55">
        <v>1975</v>
      </c>
      <c r="F55" s="79" t="s">
        <v>21</v>
      </c>
      <c r="G55" s="79" t="s">
        <v>75</v>
      </c>
      <c r="H55" s="79" t="s">
        <v>76</v>
      </c>
      <c r="I55" t="s">
        <v>1034</v>
      </c>
      <c r="J55" t="s">
        <v>315</v>
      </c>
      <c r="K55">
        <v>20</v>
      </c>
    </row>
    <row r="56" spans="1:11">
      <c r="A56">
        <v>395</v>
      </c>
      <c r="B56" s="79" t="s">
        <v>162</v>
      </c>
      <c r="C56" s="79" t="s">
        <v>1108</v>
      </c>
      <c r="D56" s="79" t="s">
        <v>1246</v>
      </c>
      <c r="E56">
        <v>1975</v>
      </c>
      <c r="F56" s="79" t="s">
        <v>21</v>
      </c>
      <c r="G56" s="79" t="s">
        <v>78</v>
      </c>
      <c r="H56" s="79" t="s">
        <v>76</v>
      </c>
      <c r="I56" t="s">
        <v>1041</v>
      </c>
      <c r="J56" t="s">
        <v>327</v>
      </c>
      <c r="K56">
        <v>20</v>
      </c>
    </row>
    <row r="57" spans="1:11">
      <c r="A57">
        <v>739</v>
      </c>
      <c r="B57" s="79" t="s">
        <v>163</v>
      </c>
      <c r="C57" s="79" t="s">
        <v>1157</v>
      </c>
      <c r="D57" s="79" t="s">
        <v>1263</v>
      </c>
      <c r="E57">
        <v>1987</v>
      </c>
      <c r="F57" s="79" t="s">
        <v>30</v>
      </c>
      <c r="G57" s="79" t="s">
        <v>31</v>
      </c>
      <c r="H57" s="79" t="s">
        <v>32</v>
      </c>
      <c r="I57">
        <v>1187041867</v>
      </c>
      <c r="J57" t="s">
        <v>327</v>
      </c>
      <c r="K57">
        <v>20</v>
      </c>
    </row>
    <row r="58" spans="1:11">
      <c r="A58">
        <v>16</v>
      </c>
      <c r="B58" s="79" t="s">
        <v>164</v>
      </c>
      <c r="C58" s="79" t="s">
        <v>1057</v>
      </c>
      <c r="D58" s="79" t="s">
        <v>1263</v>
      </c>
      <c r="E58">
        <v>1979</v>
      </c>
      <c r="F58" s="79" t="s">
        <v>21</v>
      </c>
      <c r="G58" s="79" t="s">
        <v>165</v>
      </c>
      <c r="H58" s="79" t="s">
        <v>166</v>
      </c>
      <c r="I58">
        <v>1179000066</v>
      </c>
      <c r="J58" t="s">
        <v>394</v>
      </c>
      <c r="K58">
        <v>20</v>
      </c>
    </row>
    <row r="59" spans="1:11">
      <c r="A59">
        <v>398</v>
      </c>
      <c r="B59" s="79" t="s">
        <v>167</v>
      </c>
      <c r="C59" s="79" t="s">
        <v>1105</v>
      </c>
      <c r="D59" s="79" t="s">
        <v>1258</v>
      </c>
      <c r="E59">
        <v>1976</v>
      </c>
      <c r="F59" s="79" t="s">
        <v>21</v>
      </c>
      <c r="G59" s="79" t="s">
        <v>168</v>
      </c>
      <c r="H59" s="79" t="s">
        <v>81</v>
      </c>
      <c r="I59">
        <v>1176033068</v>
      </c>
      <c r="J59" t="s">
        <v>315</v>
      </c>
      <c r="K59">
        <v>20</v>
      </c>
    </row>
    <row r="60" spans="1:11">
      <c r="A60">
        <v>399</v>
      </c>
      <c r="B60" s="79" t="s">
        <v>169</v>
      </c>
      <c r="C60" s="79" t="s">
        <v>1158</v>
      </c>
      <c r="D60" s="79" t="s">
        <v>1222</v>
      </c>
      <c r="E60">
        <v>1975</v>
      </c>
      <c r="F60" s="79" t="s">
        <v>21</v>
      </c>
      <c r="G60" s="79" t="s">
        <v>80</v>
      </c>
      <c r="H60" s="79" t="s">
        <v>81</v>
      </c>
      <c r="I60">
        <v>1175032774</v>
      </c>
      <c r="J60" t="s">
        <v>315</v>
      </c>
      <c r="K60">
        <v>20</v>
      </c>
    </row>
    <row r="61" spans="1:11">
      <c r="A61">
        <v>400</v>
      </c>
      <c r="B61" s="79" t="s">
        <v>170</v>
      </c>
      <c r="C61" s="79" t="s">
        <v>1369</v>
      </c>
      <c r="D61" s="79" t="s">
        <v>1223</v>
      </c>
      <c r="E61">
        <v>1978</v>
      </c>
      <c r="F61" s="79" t="s">
        <v>21</v>
      </c>
      <c r="G61" s="79" t="s">
        <v>171</v>
      </c>
      <c r="H61" s="79" t="s">
        <v>81</v>
      </c>
      <c r="I61">
        <v>1178001577</v>
      </c>
      <c r="J61" t="s">
        <v>315</v>
      </c>
      <c r="K61">
        <v>20</v>
      </c>
    </row>
    <row r="62" spans="1:11">
      <c r="A62">
        <v>401</v>
      </c>
      <c r="B62" s="79" t="s">
        <v>172</v>
      </c>
      <c r="C62" s="79" t="s">
        <v>1117</v>
      </c>
      <c r="D62" s="79" t="s">
        <v>1238</v>
      </c>
      <c r="E62">
        <v>1975</v>
      </c>
      <c r="F62" s="79" t="s">
        <v>21</v>
      </c>
      <c r="G62" s="79" t="s">
        <v>86</v>
      </c>
      <c r="H62" s="79" t="s">
        <v>81</v>
      </c>
      <c r="I62" t="s">
        <v>386</v>
      </c>
      <c r="J62" t="s">
        <v>315</v>
      </c>
      <c r="K62">
        <v>21</v>
      </c>
    </row>
    <row r="63" spans="1:11">
      <c r="A63">
        <v>402</v>
      </c>
      <c r="B63" s="79" t="s">
        <v>173</v>
      </c>
      <c r="C63" s="79" t="s">
        <v>1159</v>
      </c>
      <c r="D63" s="79" t="s">
        <v>1264</v>
      </c>
      <c r="E63">
        <v>1976</v>
      </c>
      <c r="F63" s="79" t="s">
        <v>21</v>
      </c>
      <c r="G63" s="79" t="s">
        <v>86</v>
      </c>
      <c r="H63" s="79" t="s">
        <v>174</v>
      </c>
      <c r="I63" t="s">
        <v>416</v>
      </c>
      <c r="J63" t="s">
        <v>315</v>
      </c>
      <c r="K63">
        <v>21</v>
      </c>
    </row>
    <row r="64" spans="1:11">
      <c r="A64">
        <v>403</v>
      </c>
      <c r="B64" s="79" t="s">
        <v>175</v>
      </c>
      <c r="C64" s="79" t="s">
        <v>1370</v>
      </c>
      <c r="D64" s="79" t="s">
        <v>1265</v>
      </c>
      <c r="E64">
        <v>1994</v>
      </c>
      <c r="F64" s="79" t="s">
        <v>21</v>
      </c>
      <c r="G64" s="79" t="s">
        <v>48</v>
      </c>
      <c r="H64" s="79" t="s">
        <v>100</v>
      </c>
      <c r="I64" t="s">
        <v>609</v>
      </c>
      <c r="J64" t="s">
        <v>315</v>
      </c>
      <c r="K64">
        <v>21</v>
      </c>
    </row>
    <row r="65" spans="1:11">
      <c r="A65">
        <v>404</v>
      </c>
      <c r="B65" s="79" t="s">
        <v>176</v>
      </c>
      <c r="C65" s="79" t="s">
        <v>1160</v>
      </c>
      <c r="D65" s="79" t="s">
        <v>1244</v>
      </c>
      <c r="E65">
        <v>1979</v>
      </c>
      <c r="F65" s="79" t="s">
        <v>21</v>
      </c>
      <c r="G65" s="79" t="s">
        <v>177</v>
      </c>
      <c r="H65" s="79" t="s">
        <v>20</v>
      </c>
      <c r="I65" t="s">
        <v>528</v>
      </c>
      <c r="J65" t="s">
        <v>394</v>
      </c>
      <c r="K65">
        <v>21</v>
      </c>
    </row>
    <row r="66" spans="1:11">
      <c r="A66">
        <v>405</v>
      </c>
      <c r="B66" s="79" t="s">
        <v>178</v>
      </c>
      <c r="C66" s="79" t="s">
        <v>1051</v>
      </c>
      <c r="D66" s="79" t="s">
        <v>1266</v>
      </c>
      <c r="E66">
        <v>1979</v>
      </c>
      <c r="F66" s="79" t="s">
        <v>21</v>
      </c>
      <c r="G66" s="79" t="s">
        <v>179</v>
      </c>
      <c r="H66" s="79" t="s">
        <v>29</v>
      </c>
      <c r="I66" t="s">
        <v>753</v>
      </c>
      <c r="J66" t="s">
        <v>315</v>
      </c>
      <c r="K66">
        <v>21</v>
      </c>
    </row>
    <row r="67" spans="1:11">
      <c r="A67">
        <v>406</v>
      </c>
      <c r="B67" s="79" t="s">
        <v>180</v>
      </c>
      <c r="C67" s="79" t="s">
        <v>1047</v>
      </c>
      <c r="D67" s="79" t="s">
        <v>1247</v>
      </c>
      <c r="E67">
        <v>1979</v>
      </c>
      <c r="F67" s="79" t="s">
        <v>21</v>
      </c>
      <c r="G67" s="79" t="s">
        <v>42</v>
      </c>
      <c r="H67" s="79" t="s">
        <v>97</v>
      </c>
      <c r="I67" t="s">
        <v>784</v>
      </c>
      <c r="J67" t="s">
        <v>315</v>
      </c>
      <c r="K67">
        <v>21</v>
      </c>
    </row>
    <row r="68" spans="1:11">
      <c r="A68">
        <v>407</v>
      </c>
      <c r="B68" s="79" t="s">
        <v>181</v>
      </c>
      <c r="C68" s="79" t="s">
        <v>1064</v>
      </c>
      <c r="D68" s="79" t="s">
        <v>1253</v>
      </c>
      <c r="E68">
        <v>1978</v>
      </c>
      <c r="F68" s="79" t="s">
        <v>21</v>
      </c>
      <c r="G68" s="79" t="s">
        <v>43</v>
      </c>
      <c r="H68" s="79" t="s">
        <v>20</v>
      </c>
      <c r="I68" t="s">
        <v>796</v>
      </c>
      <c r="J68" t="s">
        <v>654</v>
      </c>
      <c r="K68">
        <v>21</v>
      </c>
    </row>
    <row r="69" spans="1:11">
      <c r="A69">
        <v>408</v>
      </c>
      <c r="B69" s="79" t="s">
        <v>182</v>
      </c>
      <c r="C69" s="79" t="s">
        <v>1161</v>
      </c>
      <c r="D69" s="79" t="s">
        <v>1267</v>
      </c>
      <c r="E69">
        <v>1974</v>
      </c>
      <c r="F69" s="79" t="s">
        <v>21</v>
      </c>
      <c r="G69" s="79" t="s">
        <v>25</v>
      </c>
      <c r="H69" s="79" t="s">
        <v>59</v>
      </c>
      <c r="I69" t="s">
        <v>801</v>
      </c>
      <c r="J69" t="s">
        <v>327</v>
      </c>
      <c r="K69">
        <v>21</v>
      </c>
    </row>
    <row r="70" spans="1:11">
      <c r="A70">
        <v>409</v>
      </c>
      <c r="B70" s="79" t="s">
        <v>183</v>
      </c>
      <c r="C70" s="79" t="s">
        <v>1116</v>
      </c>
      <c r="D70" s="79" t="s">
        <v>1268</v>
      </c>
      <c r="E70">
        <v>1977</v>
      </c>
      <c r="F70" s="79" t="s">
        <v>21</v>
      </c>
      <c r="G70" s="79" t="s">
        <v>184</v>
      </c>
      <c r="H70" s="79" t="s">
        <v>20</v>
      </c>
      <c r="I70" t="s">
        <v>852</v>
      </c>
      <c r="J70" t="s">
        <v>654</v>
      </c>
      <c r="K70">
        <v>21</v>
      </c>
    </row>
    <row r="71" spans="1:11">
      <c r="A71">
        <v>410</v>
      </c>
      <c r="B71" s="79" t="s">
        <v>185</v>
      </c>
      <c r="C71" s="79" t="s">
        <v>1162</v>
      </c>
      <c r="D71" s="79" t="s">
        <v>1238</v>
      </c>
      <c r="E71">
        <v>1976</v>
      </c>
      <c r="F71" s="79" t="s">
        <v>21</v>
      </c>
      <c r="G71" s="79" t="s">
        <v>186</v>
      </c>
      <c r="H71" s="79" t="s">
        <v>187</v>
      </c>
      <c r="I71" t="s">
        <v>878</v>
      </c>
      <c r="J71" t="s">
        <v>315</v>
      </c>
      <c r="K71">
        <v>21</v>
      </c>
    </row>
    <row r="72" spans="1:11">
      <c r="A72">
        <v>411</v>
      </c>
      <c r="B72" s="79" t="s">
        <v>188</v>
      </c>
      <c r="C72" s="79" t="s">
        <v>1163</v>
      </c>
      <c r="D72" s="79" t="s">
        <v>1269</v>
      </c>
      <c r="E72">
        <v>1975</v>
      </c>
      <c r="F72" s="79" t="s">
        <v>21</v>
      </c>
      <c r="G72" s="79" t="s">
        <v>23</v>
      </c>
      <c r="H72" s="79" t="s">
        <v>20</v>
      </c>
      <c r="I72" t="s">
        <v>889</v>
      </c>
      <c r="J72" t="s">
        <v>315</v>
      </c>
      <c r="K72">
        <v>21</v>
      </c>
    </row>
    <row r="73" spans="1:11">
      <c r="A73">
        <v>412</v>
      </c>
      <c r="B73" s="79" t="s">
        <v>189</v>
      </c>
      <c r="C73" s="79" t="s">
        <v>1115</v>
      </c>
      <c r="D73" s="79" t="s">
        <v>1218</v>
      </c>
      <c r="E73">
        <v>1974</v>
      </c>
      <c r="F73" s="79" t="s">
        <v>21</v>
      </c>
      <c r="G73" s="79" t="s">
        <v>41</v>
      </c>
      <c r="H73" s="79" t="s">
        <v>20</v>
      </c>
      <c r="I73" t="s">
        <v>931</v>
      </c>
      <c r="J73" t="s">
        <v>654</v>
      </c>
      <c r="K73">
        <v>21</v>
      </c>
    </row>
    <row r="74" spans="1:11">
      <c r="A74">
        <v>413</v>
      </c>
      <c r="B74" s="79" t="s">
        <v>190</v>
      </c>
      <c r="C74" s="79" t="s">
        <v>1085</v>
      </c>
      <c r="D74" s="79" t="s">
        <v>1270</v>
      </c>
      <c r="E74">
        <v>1989</v>
      </c>
      <c r="F74" s="79" t="s">
        <v>30</v>
      </c>
      <c r="G74" s="79" t="s">
        <v>191</v>
      </c>
      <c r="H74" s="79" t="s">
        <v>20</v>
      </c>
      <c r="I74" t="s">
        <v>1030</v>
      </c>
      <c r="J74" t="s">
        <v>327</v>
      </c>
      <c r="K74">
        <v>21</v>
      </c>
    </row>
    <row r="75" spans="1:11">
      <c r="A75">
        <v>414</v>
      </c>
      <c r="B75" s="79" t="s">
        <v>192</v>
      </c>
      <c r="C75" s="79" t="s">
        <v>1164</v>
      </c>
      <c r="D75" s="79" t="s">
        <v>1263</v>
      </c>
      <c r="E75">
        <v>1978</v>
      </c>
      <c r="F75" s="79" t="s">
        <v>30</v>
      </c>
      <c r="G75" s="79" t="s">
        <v>191</v>
      </c>
      <c r="H75" s="79" t="s">
        <v>20</v>
      </c>
      <c r="I75">
        <v>1178002480</v>
      </c>
      <c r="J75" t="s">
        <v>327</v>
      </c>
      <c r="K75">
        <v>21</v>
      </c>
    </row>
    <row r="76" spans="1:11">
      <c r="A76">
        <v>415</v>
      </c>
      <c r="B76" s="79" t="s">
        <v>193</v>
      </c>
      <c r="C76" s="79" t="s">
        <v>1053</v>
      </c>
      <c r="D76" s="79" t="s">
        <v>1271</v>
      </c>
      <c r="E76">
        <v>1977</v>
      </c>
      <c r="F76" s="79" t="s">
        <v>30</v>
      </c>
      <c r="G76" s="79" t="s">
        <v>107</v>
      </c>
      <c r="H76" s="79" t="s">
        <v>100</v>
      </c>
      <c r="I76">
        <v>1184039143</v>
      </c>
      <c r="J76" t="s">
        <v>654</v>
      </c>
      <c r="K76">
        <v>21</v>
      </c>
    </row>
    <row r="77" spans="1:11">
      <c r="A77">
        <v>416</v>
      </c>
      <c r="B77" s="79" t="s">
        <v>194</v>
      </c>
      <c r="C77" s="79" t="s">
        <v>1118</v>
      </c>
      <c r="D77" s="79" t="s">
        <v>1238</v>
      </c>
      <c r="E77">
        <v>1976</v>
      </c>
      <c r="F77" s="79" t="s">
        <v>30</v>
      </c>
      <c r="G77" s="79" t="s">
        <v>107</v>
      </c>
      <c r="H77" s="79" t="s">
        <v>100</v>
      </c>
      <c r="I77">
        <v>27176011754</v>
      </c>
      <c r="J77" t="s">
        <v>327</v>
      </c>
      <c r="K77">
        <v>21</v>
      </c>
    </row>
    <row r="78" spans="1:11">
      <c r="A78">
        <v>417</v>
      </c>
      <c r="B78" s="79" t="s">
        <v>195</v>
      </c>
      <c r="C78" s="79" t="s">
        <v>1072</v>
      </c>
      <c r="D78" s="79" t="s">
        <v>1272</v>
      </c>
      <c r="E78">
        <v>1996</v>
      </c>
      <c r="F78" s="79" t="s">
        <v>19</v>
      </c>
      <c r="G78" s="79" t="s">
        <v>196</v>
      </c>
      <c r="H78" s="79" t="s">
        <v>91</v>
      </c>
      <c r="I78">
        <v>1196039783</v>
      </c>
      <c r="J78" t="s">
        <v>654</v>
      </c>
      <c r="K78">
        <v>21</v>
      </c>
    </row>
    <row r="79" spans="1:11">
      <c r="A79">
        <v>418</v>
      </c>
      <c r="B79" s="79" t="s">
        <v>197</v>
      </c>
      <c r="C79" s="79" t="s">
        <v>1165</v>
      </c>
      <c r="D79" s="79" t="s">
        <v>1233</v>
      </c>
      <c r="E79">
        <v>1993</v>
      </c>
      <c r="F79" s="79" t="s">
        <v>19</v>
      </c>
      <c r="G79" s="79" t="s">
        <v>198</v>
      </c>
      <c r="H79" s="79" t="s">
        <v>100</v>
      </c>
      <c r="I79">
        <v>1193046294</v>
      </c>
      <c r="J79" t="s">
        <v>654</v>
      </c>
      <c r="K79">
        <v>21</v>
      </c>
    </row>
    <row r="80" spans="1:11">
      <c r="A80">
        <v>419</v>
      </c>
      <c r="B80" s="79" t="s">
        <v>199</v>
      </c>
      <c r="C80" s="79" t="s">
        <v>1060</v>
      </c>
      <c r="D80" s="79" t="s">
        <v>1244</v>
      </c>
      <c r="E80">
        <v>1980</v>
      </c>
      <c r="F80" s="79" t="s">
        <v>19</v>
      </c>
      <c r="G80" s="79" t="s">
        <v>200</v>
      </c>
      <c r="H80" s="79" t="s">
        <v>91</v>
      </c>
      <c r="I80">
        <v>1180044201</v>
      </c>
      <c r="J80" t="s">
        <v>654</v>
      </c>
      <c r="K80">
        <v>21</v>
      </c>
    </row>
    <row r="81" spans="1:11">
      <c r="A81">
        <v>420</v>
      </c>
      <c r="B81" s="79" t="s">
        <v>201</v>
      </c>
      <c r="C81" s="79" t="s">
        <v>1166</v>
      </c>
      <c r="D81" s="79" t="s">
        <v>1252</v>
      </c>
      <c r="E81">
        <v>1979</v>
      </c>
      <c r="F81" s="79" t="s">
        <v>19</v>
      </c>
      <c r="G81" s="79" t="s">
        <v>196</v>
      </c>
      <c r="H81" s="79" t="s">
        <v>91</v>
      </c>
      <c r="I81">
        <v>1179003519</v>
      </c>
      <c r="J81" t="s">
        <v>377</v>
      </c>
      <c r="K81">
        <v>21</v>
      </c>
    </row>
    <row r="82" spans="1:11">
      <c r="A82">
        <v>421</v>
      </c>
      <c r="B82" s="79" t="s">
        <v>202</v>
      </c>
      <c r="C82" s="79" t="s">
        <v>1122</v>
      </c>
      <c r="D82" s="79" t="s">
        <v>1222</v>
      </c>
      <c r="E82">
        <v>1978</v>
      </c>
      <c r="F82" s="79" t="s">
        <v>19</v>
      </c>
      <c r="G82" s="79" t="s">
        <v>203</v>
      </c>
      <c r="H82" s="79" t="s">
        <v>59</v>
      </c>
      <c r="I82" t="s">
        <v>528</v>
      </c>
      <c r="J82" t="s">
        <v>394</v>
      </c>
      <c r="K82">
        <v>22</v>
      </c>
    </row>
    <row r="83" spans="1:11">
      <c r="A83">
        <v>422</v>
      </c>
      <c r="B83" s="79" t="s">
        <v>204</v>
      </c>
      <c r="C83" s="79" t="s">
        <v>1371</v>
      </c>
      <c r="D83" s="79" t="s">
        <v>1273</v>
      </c>
      <c r="E83">
        <v>1977</v>
      </c>
      <c r="F83" s="79" t="s">
        <v>19</v>
      </c>
      <c r="G83" s="79" t="s">
        <v>205</v>
      </c>
      <c r="H83" s="79" t="s">
        <v>20</v>
      </c>
      <c r="I83" t="s">
        <v>498</v>
      </c>
      <c r="J83" t="s">
        <v>327</v>
      </c>
      <c r="K83">
        <v>22</v>
      </c>
    </row>
    <row r="84" spans="1:11">
      <c r="A84">
        <v>423</v>
      </c>
      <c r="B84" s="79" t="s">
        <v>206</v>
      </c>
      <c r="C84" s="79" t="s">
        <v>1061</v>
      </c>
      <c r="D84" s="79" t="s">
        <v>1274</v>
      </c>
      <c r="E84">
        <v>1977</v>
      </c>
      <c r="F84" s="79" t="s">
        <v>19</v>
      </c>
      <c r="G84" s="79" t="s">
        <v>207</v>
      </c>
      <c r="H84" s="79" t="s">
        <v>187</v>
      </c>
      <c r="I84" t="s">
        <v>523</v>
      </c>
      <c r="J84" t="s">
        <v>377</v>
      </c>
      <c r="K84">
        <v>22</v>
      </c>
    </row>
    <row r="85" spans="1:11">
      <c r="A85">
        <v>424</v>
      </c>
      <c r="B85" s="79" t="s">
        <v>208</v>
      </c>
      <c r="C85" s="79" t="s">
        <v>1045</v>
      </c>
      <c r="D85" s="79" t="s">
        <v>1275</v>
      </c>
      <c r="E85">
        <v>1977</v>
      </c>
      <c r="F85" s="79" t="s">
        <v>19</v>
      </c>
      <c r="G85" s="79" t="s">
        <v>209</v>
      </c>
      <c r="H85" s="79" t="s">
        <v>210</v>
      </c>
      <c r="I85" t="s">
        <v>727</v>
      </c>
      <c r="J85" t="s">
        <v>654</v>
      </c>
      <c r="K85">
        <v>22</v>
      </c>
    </row>
    <row r="86" spans="1:11">
      <c r="A86">
        <v>425</v>
      </c>
      <c r="B86" s="79" t="s">
        <v>211</v>
      </c>
      <c r="C86" s="79" t="s">
        <v>1168</v>
      </c>
      <c r="D86" s="79" t="s">
        <v>1248</v>
      </c>
      <c r="E86">
        <v>1976</v>
      </c>
      <c r="F86" s="79" t="s">
        <v>19</v>
      </c>
      <c r="G86" s="79" t="s">
        <v>212</v>
      </c>
      <c r="H86" s="79" t="s">
        <v>20</v>
      </c>
      <c r="I86" t="s">
        <v>728</v>
      </c>
      <c r="J86" t="s">
        <v>394</v>
      </c>
      <c r="K86">
        <v>22</v>
      </c>
    </row>
    <row r="87" spans="1:11">
      <c r="A87">
        <v>426</v>
      </c>
      <c r="B87" s="79" t="s">
        <v>213</v>
      </c>
      <c r="C87" s="79" t="s">
        <v>1169</v>
      </c>
      <c r="D87" s="79" t="s">
        <v>1260</v>
      </c>
      <c r="E87">
        <v>1996</v>
      </c>
      <c r="F87" s="79" t="s">
        <v>21</v>
      </c>
      <c r="G87" s="79" t="s">
        <v>23</v>
      </c>
      <c r="H87" s="79" t="s">
        <v>20</v>
      </c>
      <c r="I87" t="s">
        <v>738</v>
      </c>
      <c r="J87" t="s">
        <v>734</v>
      </c>
      <c r="K87">
        <v>22</v>
      </c>
    </row>
    <row r="88" spans="1:11">
      <c r="A88">
        <v>427</v>
      </c>
      <c r="B88" s="79" t="s">
        <v>214</v>
      </c>
      <c r="C88" s="79" t="s">
        <v>1123</v>
      </c>
      <c r="D88" s="79" t="s">
        <v>1243</v>
      </c>
      <c r="E88">
        <v>1996</v>
      </c>
      <c r="F88" s="79" t="s">
        <v>21</v>
      </c>
      <c r="G88" s="79" t="s">
        <v>215</v>
      </c>
      <c r="H88" s="79" t="s">
        <v>20</v>
      </c>
      <c r="I88" t="s">
        <v>858</v>
      </c>
      <c r="J88" t="s">
        <v>377</v>
      </c>
      <c r="K88">
        <v>22</v>
      </c>
    </row>
    <row r="89" spans="1:11">
      <c r="A89">
        <v>428</v>
      </c>
      <c r="B89" s="79" t="s">
        <v>194</v>
      </c>
      <c r="C89" s="79" t="s">
        <v>1118</v>
      </c>
      <c r="D89" s="79" t="s">
        <v>1238</v>
      </c>
      <c r="E89">
        <v>1994</v>
      </c>
      <c r="F89" s="79" t="s">
        <v>21</v>
      </c>
      <c r="G89" s="79" t="s">
        <v>177</v>
      </c>
      <c r="H89" s="79" t="s">
        <v>20</v>
      </c>
      <c r="I89" t="s">
        <v>872</v>
      </c>
      <c r="J89" t="s">
        <v>654</v>
      </c>
      <c r="K89">
        <v>22</v>
      </c>
    </row>
    <row r="90" spans="1:11">
      <c r="A90">
        <v>429</v>
      </c>
      <c r="B90" s="79" t="s">
        <v>40</v>
      </c>
      <c r="C90" s="79" t="s">
        <v>1120</v>
      </c>
      <c r="D90" s="79" t="s">
        <v>1233</v>
      </c>
      <c r="E90">
        <v>1976</v>
      </c>
      <c r="F90" s="79" t="s">
        <v>30</v>
      </c>
      <c r="G90" s="79" t="s">
        <v>46</v>
      </c>
      <c r="H90" s="79" t="s">
        <v>59</v>
      </c>
      <c r="I90" t="s">
        <v>883</v>
      </c>
      <c r="J90" t="s">
        <v>377</v>
      </c>
      <c r="K90">
        <v>22</v>
      </c>
    </row>
    <row r="91" spans="1:11">
      <c r="A91">
        <v>430</v>
      </c>
      <c r="B91" s="79" t="s">
        <v>216</v>
      </c>
      <c r="C91" s="79" t="s">
        <v>1170</v>
      </c>
      <c r="D91" s="79" t="s">
        <v>1238</v>
      </c>
      <c r="E91">
        <v>1978</v>
      </c>
      <c r="F91" s="79" t="s">
        <v>30</v>
      </c>
      <c r="G91" s="79" t="s">
        <v>46</v>
      </c>
      <c r="H91" s="79" t="s">
        <v>59</v>
      </c>
      <c r="I91">
        <v>1184057507</v>
      </c>
      <c r="J91" t="s">
        <v>315</v>
      </c>
      <c r="K91">
        <v>22</v>
      </c>
    </row>
    <row r="92" spans="1:11">
      <c r="A92">
        <v>431</v>
      </c>
      <c r="B92" s="79" t="s">
        <v>217</v>
      </c>
      <c r="C92" s="79" t="s">
        <v>1171</v>
      </c>
      <c r="D92" s="79" t="s">
        <v>1276</v>
      </c>
      <c r="E92">
        <v>1984</v>
      </c>
      <c r="F92" s="79" t="s">
        <v>30</v>
      </c>
      <c r="G92" s="79" t="s">
        <v>45</v>
      </c>
      <c r="H92" s="79" t="s">
        <v>187</v>
      </c>
      <c r="I92">
        <v>1184006475</v>
      </c>
      <c r="J92" t="s">
        <v>327</v>
      </c>
      <c r="K92">
        <v>22</v>
      </c>
    </row>
    <row r="93" spans="1:11">
      <c r="A93">
        <v>432</v>
      </c>
      <c r="B93" s="79" t="s">
        <v>218</v>
      </c>
      <c r="C93" s="79" t="s">
        <v>1063</v>
      </c>
      <c r="D93" s="79" t="s">
        <v>1247</v>
      </c>
      <c r="E93">
        <v>1982</v>
      </c>
      <c r="F93" s="79" t="s">
        <v>19</v>
      </c>
      <c r="G93" s="79" t="s">
        <v>219</v>
      </c>
      <c r="H93" s="79" t="s">
        <v>121</v>
      </c>
      <c r="I93">
        <v>1182042023</v>
      </c>
      <c r="J93" t="s">
        <v>377</v>
      </c>
      <c r="K93">
        <v>22</v>
      </c>
    </row>
    <row r="94" spans="1:11">
      <c r="A94">
        <v>433</v>
      </c>
      <c r="B94" s="79" t="s">
        <v>220</v>
      </c>
      <c r="C94" s="79" t="s">
        <v>1172</v>
      </c>
      <c r="D94" s="79" t="s">
        <v>1277</v>
      </c>
      <c r="E94">
        <v>1985</v>
      </c>
      <c r="F94" s="79" t="s">
        <v>19</v>
      </c>
      <c r="G94" s="79" t="s">
        <v>221</v>
      </c>
      <c r="H94" s="79" t="s">
        <v>39</v>
      </c>
      <c r="I94">
        <v>1185019297</v>
      </c>
      <c r="J94" t="s">
        <v>377</v>
      </c>
      <c r="K94">
        <v>22</v>
      </c>
    </row>
    <row r="95" spans="1:11">
      <c r="A95">
        <v>603</v>
      </c>
      <c r="B95" s="79" t="s">
        <v>222</v>
      </c>
      <c r="C95" s="79" t="s">
        <v>1173</v>
      </c>
      <c r="D95" s="79" t="s">
        <v>1276</v>
      </c>
      <c r="E95">
        <v>1977</v>
      </c>
      <c r="F95" s="79" t="s">
        <v>19</v>
      </c>
      <c r="G95" s="79" t="s">
        <v>223</v>
      </c>
      <c r="H95" s="79" t="s">
        <v>294</v>
      </c>
      <c r="I95">
        <v>1177010105</v>
      </c>
      <c r="J95" t="s">
        <v>377</v>
      </c>
      <c r="K95">
        <v>22</v>
      </c>
    </row>
    <row r="96" spans="1:11">
      <c r="A96">
        <v>481</v>
      </c>
      <c r="B96" s="79" t="s">
        <v>224</v>
      </c>
      <c r="C96" s="79" t="s">
        <v>1174</v>
      </c>
      <c r="D96" s="79" t="s">
        <v>1219</v>
      </c>
      <c r="E96">
        <v>1983</v>
      </c>
      <c r="F96" s="79" t="s">
        <v>30</v>
      </c>
      <c r="G96" s="79" t="s">
        <v>31</v>
      </c>
      <c r="H96" s="79" t="s">
        <v>225</v>
      </c>
      <c r="I96">
        <v>1083006421</v>
      </c>
      <c r="J96" t="s">
        <v>327</v>
      </c>
      <c r="K96">
        <v>22</v>
      </c>
    </row>
    <row r="97" spans="1:11">
      <c r="A97">
        <v>436</v>
      </c>
      <c r="B97" s="79" t="s">
        <v>226</v>
      </c>
      <c r="C97" s="79" t="s">
        <v>1372</v>
      </c>
      <c r="D97" s="79" t="s">
        <v>1214</v>
      </c>
      <c r="E97">
        <v>1982</v>
      </c>
      <c r="F97" s="79" t="s">
        <v>19</v>
      </c>
      <c r="G97" s="79" t="s">
        <v>227</v>
      </c>
      <c r="H97" s="79" t="s">
        <v>71</v>
      </c>
      <c r="I97">
        <v>35182000293</v>
      </c>
      <c r="J97" t="s">
        <v>377</v>
      </c>
      <c r="K97">
        <v>22</v>
      </c>
    </row>
    <row r="98" spans="1:11">
      <c r="A98">
        <v>437</v>
      </c>
      <c r="B98" s="79" t="s">
        <v>228</v>
      </c>
      <c r="C98" s="79" t="s">
        <v>1176</v>
      </c>
      <c r="D98" s="79" t="s">
        <v>1216</v>
      </c>
      <c r="E98">
        <v>1987</v>
      </c>
      <c r="F98" s="79" t="s">
        <v>19</v>
      </c>
      <c r="G98" s="79" t="s">
        <v>229</v>
      </c>
      <c r="H98" s="79" t="s">
        <v>71</v>
      </c>
      <c r="I98">
        <v>1187022144</v>
      </c>
      <c r="J98" t="s">
        <v>654</v>
      </c>
      <c r="K98">
        <v>22</v>
      </c>
    </row>
    <row r="99" spans="1:11">
      <c r="A99">
        <v>438</v>
      </c>
      <c r="B99" s="79" t="s">
        <v>230</v>
      </c>
      <c r="C99" s="79" t="s">
        <v>1177</v>
      </c>
      <c r="D99" s="79" t="s">
        <v>1278</v>
      </c>
      <c r="E99">
        <v>1980</v>
      </c>
      <c r="F99" s="79" t="s">
        <v>21</v>
      </c>
      <c r="G99" s="79" t="s">
        <v>34</v>
      </c>
      <c r="H99" s="79" t="s">
        <v>231</v>
      </c>
      <c r="I99" t="s">
        <v>1143</v>
      </c>
      <c r="J99" t="s">
        <v>1143</v>
      </c>
      <c r="K99">
        <v>22</v>
      </c>
    </row>
    <row r="100" spans="1:11">
      <c r="A100">
        <v>439</v>
      </c>
      <c r="B100" s="79" t="s">
        <v>232</v>
      </c>
      <c r="C100" s="79" t="s">
        <v>1373</v>
      </c>
      <c r="D100" s="79" t="s">
        <v>1279</v>
      </c>
      <c r="E100">
        <v>1975</v>
      </c>
      <c r="F100" s="79" t="s">
        <v>21</v>
      </c>
      <c r="G100" s="79" t="s">
        <v>62</v>
      </c>
      <c r="H100" s="79" t="s">
        <v>61</v>
      </c>
      <c r="I100" t="s">
        <v>1143</v>
      </c>
      <c r="J100" t="s">
        <v>1143</v>
      </c>
      <c r="K100">
        <v>22</v>
      </c>
    </row>
    <row r="101" spans="1:11">
      <c r="A101">
        <v>440</v>
      </c>
      <c r="B101" s="79" t="s">
        <v>233</v>
      </c>
      <c r="C101" s="79" t="s">
        <v>1121</v>
      </c>
      <c r="D101" s="79" t="s">
        <v>1280</v>
      </c>
      <c r="E101">
        <v>1980</v>
      </c>
      <c r="F101" s="79" t="s">
        <v>19</v>
      </c>
      <c r="G101" s="79" t="s">
        <v>234</v>
      </c>
      <c r="H101" s="79" t="s">
        <v>121</v>
      </c>
      <c r="I101">
        <v>1180020741</v>
      </c>
      <c r="J101" t="s">
        <v>377</v>
      </c>
      <c r="K101">
        <v>22</v>
      </c>
    </row>
    <row r="102" spans="1:11">
      <c r="A102">
        <v>441</v>
      </c>
      <c r="B102" s="79" t="s">
        <v>218</v>
      </c>
      <c r="C102" s="79" t="s">
        <v>1063</v>
      </c>
      <c r="D102" s="79" t="s">
        <v>1247</v>
      </c>
      <c r="E102">
        <v>1991</v>
      </c>
      <c r="F102" s="79" t="s">
        <v>19</v>
      </c>
      <c r="G102" s="79" t="s">
        <v>235</v>
      </c>
      <c r="H102" s="79" t="s">
        <v>100</v>
      </c>
      <c r="I102" t="s">
        <v>440</v>
      </c>
      <c r="J102" t="s">
        <v>327</v>
      </c>
      <c r="K102">
        <v>23</v>
      </c>
    </row>
    <row r="103" spans="1:11">
      <c r="A103">
        <v>442</v>
      </c>
      <c r="B103" s="79" t="s">
        <v>236</v>
      </c>
      <c r="C103" s="79" t="s">
        <v>1131</v>
      </c>
      <c r="D103" s="79" t="s">
        <v>1281</v>
      </c>
      <c r="E103">
        <v>1981</v>
      </c>
      <c r="F103" s="79" t="s">
        <v>21</v>
      </c>
      <c r="G103" s="79" t="s">
        <v>66</v>
      </c>
      <c r="H103" s="79" t="s">
        <v>121</v>
      </c>
      <c r="I103" t="s">
        <v>332</v>
      </c>
      <c r="J103" t="s">
        <v>327</v>
      </c>
      <c r="K103">
        <v>23</v>
      </c>
    </row>
    <row r="104" spans="1:11">
      <c r="A104">
        <v>443</v>
      </c>
      <c r="B104" s="79" t="s">
        <v>237</v>
      </c>
      <c r="C104" s="79" t="s">
        <v>1130</v>
      </c>
      <c r="D104" s="79" t="s">
        <v>1261</v>
      </c>
      <c r="E104">
        <v>1984</v>
      </c>
      <c r="F104" s="79" t="s">
        <v>21</v>
      </c>
      <c r="G104" s="79" t="s">
        <v>238</v>
      </c>
      <c r="H104" s="79" t="s">
        <v>121</v>
      </c>
      <c r="I104" t="s">
        <v>345</v>
      </c>
      <c r="J104" t="s">
        <v>327</v>
      </c>
      <c r="K104">
        <v>23</v>
      </c>
    </row>
    <row r="105" spans="1:11">
      <c r="A105">
        <v>444</v>
      </c>
      <c r="B105" s="79" t="s">
        <v>239</v>
      </c>
      <c r="C105" s="79" t="s">
        <v>1128</v>
      </c>
      <c r="D105" s="79" t="s">
        <v>1266</v>
      </c>
      <c r="E105">
        <v>1976</v>
      </c>
      <c r="F105" s="79" t="s">
        <v>21</v>
      </c>
      <c r="G105" s="79" t="s">
        <v>140</v>
      </c>
      <c r="H105" s="79" t="s">
        <v>61</v>
      </c>
      <c r="I105" t="s">
        <v>569</v>
      </c>
      <c r="J105" t="s">
        <v>327</v>
      </c>
      <c r="K105">
        <v>23</v>
      </c>
    </row>
    <row r="106" spans="1:11">
      <c r="A106">
        <v>445</v>
      </c>
      <c r="B106" s="79" t="s">
        <v>193</v>
      </c>
      <c r="C106" s="79" t="s">
        <v>1053</v>
      </c>
      <c r="D106" s="79" t="s">
        <v>1271</v>
      </c>
      <c r="E106">
        <v>1984</v>
      </c>
      <c r="F106" s="79" t="s">
        <v>19</v>
      </c>
      <c r="G106" s="79" t="s">
        <v>240</v>
      </c>
      <c r="H106" s="79" t="s">
        <v>121</v>
      </c>
      <c r="I106" t="s">
        <v>422</v>
      </c>
      <c r="J106" t="s">
        <v>315</v>
      </c>
      <c r="K106">
        <v>23</v>
      </c>
    </row>
    <row r="107" spans="1:11">
      <c r="A107">
        <v>446</v>
      </c>
      <c r="B107" s="79" t="s">
        <v>241</v>
      </c>
      <c r="C107" s="79" t="s">
        <v>1179</v>
      </c>
      <c r="D107" s="79" t="s">
        <v>1264</v>
      </c>
      <c r="E107">
        <v>2000</v>
      </c>
      <c r="F107" s="79" t="s">
        <v>21</v>
      </c>
      <c r="G107" s="79" t="s">
        <v>242</v>
      </c>
      <c r="H107" s="79" t="s">
        <v>243</v>
      </c>
      <c r="I107" t="s">
        <v>391</v>
      </c>
      <c r="J107" t="s">
        <v>315</v>
      </c>
      <c r="K107">
        <v>23</v>
      </c>
    </row>
    <row r="108" spans="1:11">
      <c r="A108">
        <v>447</v>
      </c>
      <c r="B108" s="79" t="s">
        <v>244</v>
      </c>
      <c r="C108" s="79" t="s">
        <v>1180</v>
      </c>
      <c r="D108" s="79" t="s">
        <v>1282</v>
      </c>
      <c r="E108">
        <v>1983</v>
      </c>
      <c r="F108" s="79" t="s">
        <v>21</v>
      </c>
      <c r="G108" s="79" t="s">
        <v>245</v>
      </c>
      <c r="H108" s="79" t="s">
        <v>71</v>
      </c>
      <c r="I108" t="s">
        <v>374</v>
      </c>
      <c r="J108" t="s">
        <v>315</v>
      </c>
      <c r="K108">
        <v>23</v>
      </c>
    </row>
    <row r="109" spans="1:11">
      <c r="A109">
        <v>448</v>
      </c>
      <c r="B109" s="79" t="s">
        <v>246</v>
      </c>
      <c r="C109" s="79" t="s">
        <v>1129</v>
      </c>
      <c r="D109" s="79" t="s">
        <v>1271</v>
      </c>
      <c r="E109">
        <v>1978</v>
      </c>
      <c r="F109" s="79" t="s">
        <v>21</v>
      </c>
      <c r="G109" s="79" t="s">
        <v>143</v>
      </c>
      <c r="H109" s="79" t="s">
        <v>27</v>
      </c>
      <c r="I109" t="s">
        <v>457</v>
      </c>
      <c r="J109" t="s">
        <v>315</v>
      </c>
      <c r="K109">
        <v>23</v>
      </c>
    </row>
    <row r="110" spans="1:11">
      <c r="A110">
        <v>449</v>
      </c>
      <c r="B110" s="79" t="s">
        <v>36</v>
      </c>
      <c r="C110" s="79" t="s">
        <v>1181</v>
      </c>
      <c r="D110" s="79" t="s">
        <v>1283</v>
      </c>
      <c r="E110">
        <v>1995</v>
      </c>
      <c r="F110" s="79" t="s">
        <v>30</v>
      </c>
      <c r="G110" s="79" t="s">
        <v>151</v>
      </c>
      <c r="H110" s="79" t="s">
        <v>81</v>
      </c>
      <c r="I110" t="s">
        <v>796</v>
      </c>
      <c r="J110" t="s">
        <v>654</v>
      </c>
      <c r="K110">
        <v>23</v>
      </c>
    </row>
    <row r="111" spans="1:11">
      <c r="A111">
        <v>450</v>
      </c>
      <c r="B111" s="79" t="s">
        <v>247</v>
      </c>
      <c r="C111" s="79" t="s">
        <v>1182</v>
      </c>
      <c r="D111" s="79" t="s">
        <v>1272</v>
      </c>
      <c r="E111">
        <v>1985</v>
      </c>
      <c r="F111" s="79" t="s">
        <v>30</v>
      </c>
      <c r="G111" s="79" t="s">
        <v>148</v>
      </c>
      <c r="H111" s="79" t="s">
        <v>149</v>
      </c>
      <c r="I111" t="s">
        <v>801</v>
      </c>
      <c r="J111" t="s">
        <v>327</v>
      </c>
      <c r="K111">
        <v>23</v>
      </c>
    </row>
    <row r="112" spans="1:11">
      <c r="A112">
        <v>451</v>
      </c>
      <c r="B112" s="79" t="s">
        <v>248</v>
      </c>
      <c r="C112" s="79" t="s">
        <v>1081</v>
      </c>
      <c r="D112" s="79" t="s">
        <v>1243</v>
      </c>
      <c r="E112">
        <v>1983</v>
      </c>
      <c r="F112" s="79" t="s">
        <v>30</v>
      </c>
      <c r="G112" s="79" t="s">
        <v>148</v>
      </c>
      <c r="H112" s="79" t="s">
        <v>149</v>
      </c>
      <c r="I112" t="s">
        <v>837</v>
      </c>
      <c r="J112" t="s">
        <v>654</v>
      </c>
      <c r="K112">
        <v>23</v>
      </c>
    </row>
    <row r="113" spans="1:11">
      <c r="A113">
        <v>452</v>
      </c>
      <c r="B113" s="79" t="s">
        <v>249</v>
      </c>
      <c r="C113" s="79" t="s">
        <v>1080</v>
      </c>
      <c r="D113" s="79" t="s">
        <v>1284</v>
      </c>
      <c r="E113">
        <v>1982</v>
      </c>
      <c r="F113" s="79" t="s">
        <v>30</v>
      </c>
      <c r="G113" s="79" t="s">
        <v>153</v>
      </c>
      <c r="H113" s="79" t="s">
        <v>76</v>
      </c>
      <c r="I113" t="s">
        <v>872</v>
      </c>
      <c r="J113" t="s">
        <v>654</v>
      </c>
      <c r="K113">
        <v>23</v>
      </c>
    </row>
    <row r="114" spans="1:11">
      <c r="A114">
        <v>453</v>
      </c>
      <c r="B114" s="79" t="s">
        <v>250</v>
      </c>
      <c r="C114" s="79" t="s">
        <v>1127</v>
      </c>
      <c r="D114" s="79" t="s">
        <v>1226</v>
      </c>
      <c r="E114">
        <v>1979</v>
      </c>
      <c r="F114" s="79" t="s">
        <v>30</v>
      </c>
      <c r="G114" s="79" t="s">
        <v>153</v>
      </c>
      <c r="H114" s="79" t="s">
        <v>76</v>
      </c>
      <c r="I114" t="s">
        <v>883</v>
      </c>
      <c r="J114" t="s">
        <v>377</v>
      </c>
      <c r="K114">
        <v>23</v>
      </c>
    </row>
    <row r="115" spans="1:11">
      <c r="A115">
        <v>454</v>
      </c>
      <c r="B115" s="79" t="s">
        <v>251</v>
      </c>
      <c r="C115" s="79" t="s">
        <v>1124</v>
      </c>
      <c r="D115" s="79" t="s">
        <v>1285</v>
      </c>
      <c r="E115">
        <v>1978</v>
      </c>
      <c r="F115" s="79" t="s">
        <v>30</v>
      </c>
      <c r="G115" s="79" t="s">
        <v>151</v>
      </c>
      <c r="H115" s="79" t="s">
        <v>81</v>
      </c>
      <c r="I115" t="s">
        <v>983</v>
      </c>
      <c r="J115" t="s">
        <v>327</v>
      </c>
      <c r="K115">
        <v>23</v>
      </c>
    </row>
    <row r="116" spans="1:11">
      <c r="A116">
        <v>455</v>
      </c>
      <c r="B116" s="79" t="s">
        <v>252</v>
      </c>
      <c r="C116" s="79" t="s">
        <v>1125</v>
      </c>
      <c r="D116" s="79" t="s">
        <v>1246</v>
      </c>
      <c r="E116">
        <v>1976</v>
      </c>
      <c r="F116" s="79" t="s">
        <v>30</v>
      </c>
      <c r="G116" s="79" t="s">
        <v>151</v>
      </c>
      <c r="H116" s="79" t="s">
        <v>81</v>
      </c>
      <c r="I116" t="s">
        <v>1213</v>
      </c>
      <c r="J116" t="s">
        <v>327</v>
      </c>
      <c r="K116">
        <v>23</v>
      </c>
    </row>
    <row r="117" spans="1:11">
      <c r="A117">
        <v>456</v>
      </c>
      <c r="B117" s="79" t="s">
        <v>253</v>
      </c>
      <c r="C117" s="79" t="s">
        <v>1126</v>
      </c>
      <c r="D117" s="79" t="s">
        <v>1254</v>
      </c>
      <c r="E117">
        <v>1976</v>
      </c>
      <c r="F117" s="79" t="s">
        <v>30</v>
      </c>
      <c r="G117" s="79" t="s">
        <v>153</v>
      </c>
      <c r="H117" s="79" t="s">
        <v>76</v>
      </c>
      <c r="I117" t="s">
        <v>1002</v>
      </c>
      <c r="J117" t="s">
        <v>394</v>
      </c>
      <c r="K117">
        <v>23</v>
      </c>
    </row>
    <row r="118" spans="1:11">
      <c r="A118">
        <v>457</v>
      </c>
      <c r="B118" s="79" t="s">
        <v>254</v>
      </c>
      <c r="C118" s="79" t="s">
        <v>1183</v>
      </c>
      <c r="D118" s="79" t="s">
        <v>1224</v>
      </c>
      <c r="E118">
        <v>1975</v>
      </c>
      <c r="F118" s="79" t="s">
        <v>30</v>
      </c>
      <c r="G118" s="79" t="s">
        <v>255</v>
      </c>
      <c r="H118" s="79" t="s">
        <v>81</v>
      </c>
      <c r="I118">
        <v>1175028245</v>
      </c>
      <c r="J118" t="s">
        <v>1190</v>
      </c>
      <c r="K118">
        <v>23</v>
      </c>
    </row>
    <row r="119" spans="1:11">
      <c r="A119">
        <v>458</v>
      </c>
      <c r="B119" s="79" t="s">
        <v>256</v>
      </c>
      <c r="C119" s="79" t="s">
        <v>1082</v>
      </c>
      <c r="D119" s="79" t="s">
        <v>1286</v>
      </c>
      <c r="E119">
        <v>1995</v>
      </c>
      <c r="F119" s="79" t="s">
        <v>21</v>
      </c>
      <c r="G119" s="79" t="s">
        <v>257</v>
      </c>
      <c r="H119" s="79" t="s">
        <v>157</v>
      </c>
      <c r="I119">
        <v>1195004906</v>
      </c>
      <c r="J119" t="s">
        <v>394</v>
      </c>
      <c r="K119">
        <v>23</v>
      </c>
    </row>
    <row r="120" spans="1:11">
      <c r="A120">
        <v>459</v>
      </c>
      <c r="B120" s="79" t="s">
        <v>176</v>
      </c>
      <c r="C120" s="79" t="s">
        <v>1160</v>
      </c>
      <c r="D120" s="79" t="s">
        <v>1244</v>
      </c>
      <c r="E120">
        <v>1975</v>
      </c>
      <c r="F120" s="79" t="s">
        <v>21</v>
      </c>
      <c r="G120" s="79" t="s">
        <v>258</v>
      </c>
      <c r="H120" s="79" t="s">
        <v>157</v>
      </c>
      <c r="I120" t="s">
        <v>1143</v>
      </c>
      <c r="J120" t="s">
        <v>1143</v>
      </c>
      <c r="K120">
        <v>23</v>
      </c>
    </row>
    <row r="121" spans="1:11">
      <c r="A121">
        <v>460</v>
      </c>
      <c r="B121" s="79" t="s">
        <v>259</v>
      </c>
      <c r="C121" s="79" t="s">
        <v>1058</v>
      </c>
      <c r="D121" s="79" t="s">
        <v>1227</v>
      </c>
      <c r="E121">
        <v>1983</v>
      </c>
      <c r="F121" s="79" t="s">
        <v>19</v>
      </c>
      <c r="G121" s="79" t="s">
        <v>260</v>
      </c>
      <c r="H121" s="79" t="s">
        <v>261</v>
      </c>
      <c r="I121">
        <v>1183053186</v>
      </c>
      <c r="J121" t="s">
        <v>654</v>
      </c>
      <c r="K121">
        <v>23</v>
      </c>
    </row>
    <row r="122" spans="1:11">
      <c r="A122">
        <v>482</v>
      </c>
      <c r="B122" s="79" t="s">
        <v>262</v>
      </c>
      <c r="C122" s="79" t="s">
        <v>1099</v>
      </c>
      <c r="D122" s="79" t="s">
        <v>1246</v>
      </c>
      <c r="E122">
        <v>1984</v>
      </c>
      <c r="F122" s="79" t="s">
        <v>30</v>
      </c>
      <c r="G122" s="79" t="s">
        <v>113</v>
      </c>
      <c r="H122" s="79" t="s">
        <v>114</v>
      </c>
      <c r="I122" t="s">
        <v>362</v>
      </c>
      <c r="J122" t="s">
        <v>358</v>
      </c>
      <c r="K122">
        <v>24</v>
      </c>
    </row>
    <row r="123" spans="1:11">
      <c r="A123">
        <v>462</v>
      </c>
      <c r="B123" s="79" t="s">
        <v>263</v>
      </c>
      <c r="C123" s="79" t="s">
        <v>1046</v>
      </c>
      <c r="D123" s="79" t="s">
        <v>1247</v>
      </c>
      <c r="E123">
        <v>1977</v>
      </c>
      <c r="F123" s="79" t="s">
        <v>21</v>
      </c>
      <c r="G123" s="79" t="s">
        <v>264</v>
      </c>
      <c r="H123" s="79" t="s">
        <v>149</v>
      </c>
      <c r="I123" t="s">
        <v>528</v>
      </c>
      <c r="J123" t="s">
        <v>394</v>
      </c>
      <c r="K123">
        <v>24</v>
      </c>
    </row>
    <row r="124" spans="1:11">
      <c r="A124">
        <v>463</v>
      </c>
      <c r="B124" s="79" t="s">
        <v>265</v>
      </c>
      <c r="C124" s="79" t="s">
        <v>1184</v>
      </c>
      <c r="D124" s="79" t="s">
        <v>1263</v>
      </c>
      <c r="E124">
        <v>1989</v>
      </c>
      <c r="F124" s="79" t="s">
        <v>19</v>
      </c>
      <c r="G124" s="79" t="s">
        <v>266</v>
      </c>
      <c r="H124" s="79" t="s">
        <v>81</v>
      </c>
      <c r="I124" t="s">
        <v>503</v>
      </c>
      <c r="J124" t="s">
        <v>327</v>
      </c>
      <c r="K124">
        <v>24</v>
      </c>
    </row>
    <row r="125" spans="1:11">
      <c r="A125">
        <v>464</v>
      </c>
      <c r="B125" s="79" t="s">
        <v>267</v>
      </c>
      <c r="C125" s="79" t="s">
        <v>1049</v>
      </c>
      <c r="D125" s="79" t="s">
        <v>1287</v>
      </c>
      <c r="E125">
        <v>1979</v>
      </c>
      <c r="F125" s="79" t="s">
        <v>21</v>
      </c>
      <c r="G125" s="79" t="s">
        <v>35</v>
      </c>
      <c r="H125" s="79" t="s">
        <v>81</v>
      </c>
      <c r="I125" t="s">
        <v>580</v>
      </c>
      <c r="J125" t="s">
        <v>394</v>
      </c>
      <c r="K125">
        <v>24</v>
      </c>
    </row>
    <row r="126" spans="1:11">
      <c r="A126">
        <v>465</v>
      </c>
      <c r="B126" s="79" t="s">
        <v>268</v>
      </c>
      <c r="C126" s="79" t="s">
        <v>1374</v>
      </c>
      <c r="D126" s="79" t="s">
        <v>1240</v>
      </c>
      <c r="E126">
        <v>1975</v>
      </c>
      <c r="F126" s="79" t="s">
        <v>21</v>
      </c>
      <c r="G126" s="79" t="s">
        <v>171</v>
      </c>
      <c r="H126" s="79" t="s">
        <v>81</v>
      </c>
      <c r="I126" t="s">
        <v>508</v>
      </c>
      <c r="J126" t="s">
        <v>327</v>
      </c>
      <c r="K126">
        <v>24</v>
      </c>
    </row>
    <row r="127" spans="1:11">
      <c r="A127">
        <v>466</v>
      </c>
      <c r="B127" s="79" t="s">
        <v>269</v>
      </c>
      <c r="C127" s="79" t="s">
        <v>1078</v>
      </c>
      <c r="D127" s="79" t="s">
        <v>1216</v>
      </c>
      <c r="E127">
        <v>1988</v>
      </c>
      <c r="F127" s="79" t="s">
        <v>21</v>
      </c>
      <c r="G127" s="79" t="s">
        <v>270</v>
      </c>
      <c r="H127" s="79" t="s">
        <v>81</v>
      </c>
      <c r="I127" t="s">
        <v>339</v>
      </c>
      <c r="J127" t="s">
        <v>315</v>
      </c>
      <c r="K127">
        <v>24</v>
      </c>
    </row>
    <row r="128" spans="1:11">
      <c r="A128">
        <v>467</v>
      </c>
      <c r="B128" s="79" t="s">
        <v>271</v>
      </c>
      <c r="C128" s="79" t="s">
        <v>1185</v>
      </c>
      <c r="D128" s="79" t="s">
        <v>1238</v>
      </c>
      <c r="E128">
        <v>1978</v>
      </c>
      <c r="F128" s="79" t="s">
        <v>30</v>
      </c>
      <c r="G128" s="79" t="s">
        <v>33</v>
      </c>
      <c r="H128" s="79" t="s">
        <v>272</v>
      </c>
      <c r="I128" t="s">
        <v>745</v>
      </c>
      <c r="J128" t="s">
        <v>315</v>
      </c>
      <c r="K128">
        <v>24</v>
      </c>
    </row>
    <row r="129" spans="1:11">
      <c r="A129">
        <v>468</v>
      </c>
      <c r="B129" s="79" t="s">
        <v>273</v>
      </c>
      <c r="C129" s="79" t="s">
        <v>1052</v>
      </c>
      <c r="D129" s="79" t="s">
        <v>1271</v>
      </c>
      <c r="E129">
        <v>1979</v>
      </c>
      <c r="F129" s="79" t="s">
        <v>19</v>
      </c>
      <c r="G129" s="79" t="s">
        <v>274</v>
      </c>
      <c r="H129" s="79" t="s">
        <v>94</v>
      </c>
      <c r="I129" t="s">
        <v>761</v>
      </c>
      <c r="J129" t="s">
        <v>654</v>
      </c>
      <c r="K129">
        <v>24</v>
      </c>
    </row>
    <row r="130" spans="1:11">
      <c r="A130">
        <v>469</v>
      </c>
      <c r="B130" s="79" t="s">
        <v>275</v>
      </c>
      <c r="C130" s="79" t="s">
        <v>1062</v>
      </c>
      <c r="D130" s="79" t="s">
        <v>1288</v>
      </c>
      <c r="E130">
        <v>1992</v>
      </c>
      <c r="F130" s="79" t="s">
        <v>21</v>
      </c>
      <c r="G130" s="79" t="s">
        <v>104</v>
      </c>
      <c r="H130" s="79" t="s">
        <v>20</v>
      </c>
      <c r="I130" t="s">
        <v>769</v>
      </c>
      <c r="J130" t="s">
        <v>315</v>
      </c>
      <c r="K130">
        <v>24</v>
      </c>
    </row>
    <row r="131" spans="1:11">
      <c r="A131">
        <v>470</v>
      </c>
      <c r="B131" s="79" t="s">
        <v>276</v>
      </c>
      <c r="C131" s="79" t="s">
        <v>1137</v>
      </c>
      <c r="D131" s="79" t="s">
        <v>1233</v>
      </c>
      <c r="E131">
        <v>1984</v>
      </c>
      <c r="F131" s="79" t="s">
        <v>21</v>
      </c>
      <c r="G131" s="79" t="s">
        <v>38</v>
      </c>
      <c r="H131" s="79" t="s">
        <v>20</v>
      </c>
      <c r="I131" t="s">
        <v>790</v>
      </c>
      <c r="J131" t="s">
        <v>377</v>
      </c>
      <c r="K131">
        <v>24</v>
      </c>
    </row>
    <row r="132" spans="1:11">
      <c r="A132">
        <v>471</v>
      </c>
      <c r="B132" s="79" t="s">
        <v>277</v>
      </c>
      <c r="C132" s="79" t="s">
        <v>1186</v>
      </c>
      <c r="D132" s="79" t="s">
        <v>1289</v>
      </c>
      <c r="E132">
        <v>1982</v>
      </c>
      <c r="F132" s="79" t="s">
        <v>21</v>
      </c>
      <c r="G132" s="79" t="s">
        <v>22</v>
      </c>
      <c r="H132" s="79" t="s">
        <v>94</v>
      </c>
      <c r="I132" t="s">
        <v>808</v>
      </c>
      <c r="J132" t="s">
        <v>327</v>
      </c>
      <c r="K132">
        <v>24</v>
      </c>
    </row>
    <row r="133" spans="1:11">
      <c r="A133">
        <v>472</v>
      </c>
      <c r="B133" s="79" t="s">
        <v>278</v>
      </c>
      <c r="C133" s="79" t="s">
        <v>1134</v>
      </c>
      <c r="D133" s="79" t="s">
        <v>1233</v>
      </c>
      <c r="E133">
        <v>1980</v>
      </c>
      <c r="F133" s="79" t="s">
        <v>21</v>
      </c>
      <c r="G133" s="79" t="s">
        <v>43</v>
      </c>
      <c r="H133" s="79" t="s">
        <v>20</v>
      </c>
      <c r="I133" t="s">
        <v>864</v>
      </c>
      <c r="J133" t="s">
        <v>394</v>
      </c>
      <c r="K133">
        <v>24</v>
      </c>
    </row>
    <row r="134" spans="1:11">
      <c r="A134">
        <v>473</v>
      </c>
      <c r="B134" s="79" t="s">
        <v>194</v>
      </c>
      <c r="C134" s="79" t="s">
        <v>1118</v>
      </c>
      <c r="D134" s="79" t="s">
        <v>1238</v>
      </c>
      <c r="E134">
        <v>1979</v>
      </c>
      <c r="F134" s="79" t="s">
        <v>21</v>
      </c>
      <c r="G134" s="79" t="s">
        <v>47</v>
      </c>
      <c r="H134" s="79" t="s">
        <v>20</v>
      </c>
      <c r="I134" t="s">
        <v>969</v>
      </c>
      <c r="J134" t="s">
        <v>394</v>
      </c>
      <c r="K134">
        <v>24</v>
      </c>
    </row>
    <row r="135" spans="1:11">
      <c r="A135">
        <v>474</v>
      </c>
      <c r="B135" s="79" t="s">
        <v>279</v>
      </c>
      <c r="C135" s="79" t="s">
        <v>1187</v>
      </c>
      <c r="D135" s="79" t="s">
        <v>1290</v>
      </c>
      <c r="E135">
        <v>1977</v>
      </c>
      <c r="F135" s="79" t="s">
        <v>21</v>
      </c>
      <c r="G135" s="79" t="s">
        <v>24</v>
      </c>
      <c r="H135" s="79" t="s">
        <v>210</v>
      </c>
      <c r="I135">
        <v>1177009345</v>
      </c>
      <c r="J135" t="s">
        <v>315</v>
      </c>
      <c r="K135">
        <v>24</v>
      </c>
    </row>
    <row r="136" spans="1:11">
      <c r="A136">
        <v>475</v>
      </c>
      <c r="B136" s="79" t="s">
        <v>280</v>
      </c>
      <c r="C136" s="79" t="s">
        <v>1054</v>
      </c>
      <c r="D136" s="79" t="s">
        <v>1247</v>
      </c>
      <c r="E136">
        <v>1979</v>
      </c>
      <c r="F136" s="79" t="s">
        <v>30</v>
      </c>
      <c r="G136" s="79" t="s">
        <v>107</v>
      </c>
      <c r="H136" s="79" t="s">
        <v>100</v>
      </c>
      <c r="I136">
        <v>1179014240</v>
      </c>
      <c r="J136" t="s">
        <v>327</v>
      </c>
      <c r="K136">
        <v>24</v>
      </c>
    </row>
    <row r="137" spans="1:11">
      <c r="A137">
        <v>476</v>
      </c>
      <c r="B137" s="79" t="s">
        <v>281</v>
      </c>
      <c r="C137" s="79" t="s">
        <v>1188</v>
      </c>
      <c r="D137" s="79" t="s">
        <v>1282</v>
      </c>
      <c r="E137">
        <v>1978</v>
      </c>
      <c r="F137" s="79" t="s">
        <v>30</v>
      </c>
      <c r="G137" s="79" t="s">
        <v>282</v>
      </c>
      <c r="H137" s="79" t="s">
        <v>283</v>
      </c>
      <c r="I137" t="s">
        <v>1143</v>
      </c>
      <c r="J137" t="s">
        <v>1143</v>
      </c>
      <c r="K137">
        <v>24</v>
      </c>
    </row>
    <row r="138" spans="1:11">
      <c r="A138">
        <v>477</v>
      </c>
      <c r="B138" s="79" t="s">
        <v>128</v>
      </c>
      <c r="C138" s="79" t="s">
        <v>1149</v>
      </c>
      <c r="D138" s="79" t="s">
        <v>1230</v>
      </c>
      <c r="E138">
        <v>1982</v>
      </c>
      <c r="F138" s="79" t="s">
        <v>30</v>
      </c>
      <c r="G138" s="79" t="s">
        <v>110</v>
      </c>
      <c r="H138" s="79" t="s">
        <v>100</v>
      </c>
      <c r="I138">
        <v>1182033283</v>
      </c>
      <c r="J138" t="s">
        <v>358</v>
      </c>
      <c r="K138">
        <v>24</v>
      </c>
    </row>
    <row r="139" spans="1:11">
      <c r="A139">
        <v>478</v>
      </c>
      <c r="B139" s="79" t="s">
        <v>284</v>
      </c>
      <c r="C139" s="79" t="s">
        <v>1133</v>
      </c>
      <c r="D139" s="79" t="s">
        <v>1253</v>
      </c>
      <c r="E139">
        <v>1978</v>
      </c>
      <c r="F139" s="79" t="s">
        <v>30</v>
      </c>
      <c r="G139" s="79" t="s">
        <v>110</v>
      </c>
      <c r="H139" s="79" t="s">
        <v>100</v>
      </c>
      <c r="I139">
        <v>1178003953</v>
      </c>
      <c r="J139" t="s">
        <v>327</v>
      </c>
      <c r="K139">
        <v>24</v>
      </c>
    </row>
    <row r="140" spans="1:11">
      <c r="A140">
        <v>479</v>
      </c>
      <c r="B140" s="79" t="s">
        <v>285</v>
      </c>
      <c r="C140" s="79" t="s">
        <v>1048</v>
      </c>
      <c r="D140" s="79" t="s">
        <v>1256</v>
      </c>
      <c r="E140">
        <v>1992</v>
      </c>
      <c r="F140" s="79" t="s">
        <v>19</v>
      </c>
      <c r="G140" s="79" t="s">
        <v>286</v>
      </c>
      <c r="H140" s="79" t="s">
        <v>39</v>
      </c>
      <c r="I140">
        <v>1192033920</v>
      </c>
      <c r="J140" t="s">
        <v>654</v>
      </c>
      <c r="K140">
        <v>24</v>
      </c>
    </row>
    <row r="141" spans="1:11">
      <c r="A141">
        <v>480</v>
      </c>
      <c r="B141" s="79" t="s">
        <v>287</v>
      </c>
      <c r="C141" s="79" t="s">
        <v>1136</v>
      </c>
      <c r="D141" s="79" t="s">
        <v>1214</v>
      </c>
      <c r="E141">
        <v>1986</v>
      </c>
      <c r="F141" s="79" t="s">
        <v>30</v>
      </c>
      <c r="G141" s="79" t="s">
        <v>46</v>
      </c>
      <c r="H141" s="79" t="s">
        <v>59</v>
      </c>
      <c r="I141">
        <v>1186019155</v>
      </c>
      <c r="J141" t="s">
        <v>327</v>
      </c>
      <c r="K141">
        <v>24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1D30-AA09-4E19-BB5B-E6D72F0F6173}">
  <sheetPr codeName="Sheet25"/>
  <dimension ref="A1:Z141"/>
  <sheetViews>
    <sheetView topLeftCell="N1" workbookViewId="0">
      <selection activeCell="V1" sqref="V1:Z1048576"/>
    </sheetView>
  </sheetViews>
  <sheetFormatPr defaultRowHeight="15"/>
  <cols>
    <col min="1" max="1" width="11.140625" bestFit="1" customWidth="1"/>
    <col min="2" max="2" width="22.85546875" bestFit="1" customWidth="1"/>
    <col min="3" max="3" width="25.28515625" bestFit="1" customWidth="1"/>
    <col min="4" max="6" width="11.140625" bestFit="1" customWidth="1"/>
    <col min="7" max="7" width="23.140625" bestFit="1" customWidth="1"/>
    <col min="8" max="8" width="11.7109375" bestFit="1" customWidth="1"/>
    <col min="9" max="9" width="25.140625" bestFit="1" customWidth="1"/>
    <col min="10" max="10" width="46" bestFit="1" customWidth="1"/>
    <col min="11" max="21" width="12.140625" bestFit="1" customWidth="1"/>
    <col min="22" max="22" width="23.7109375" style="82" bestFit="1" customWidth="1"/>
    <col min="23" max="23" width="21.85546875" style="82" bestFit="1" customWidth="1"/>
    <col min="24" max="24" width="21" style="82" bestFit="1" customWidth="1"/>
    <col min="25" max="25" width="20.5703125" style="82" bestFit="1" customWidth="1"/>
    <col min="26" max="26" width="21.85546875" style="82" bestFit="1" customWidth="1"/>
  </cols>
  <sheetData>
    <row r="1" spans="1:26">
      <c r="A1" s="79" t="s">
        <v>660</v>
      </c>
      <c r="B1" s="79" t="s">
        <v>671</v>
      </c>
      <c r="C1" s="79" t="s">
        <v>1366</v>
      </c>
      <c r="D1" s="79" t="s">
        <v>672</v>
      </c>
      <c r="E1" s="79" t="s">
        <v>673</v>
      </c>
      <c r="F1" s="79" t="s">
        <v>686</v>
      </c>
      <c r="G1" s="79" t="s">
        <v>687</v>
      </c>
      <c r="H1" s="79" t="s">
        <v>688</v>
      </c>
      <c r="I1" s="79" t="s">
        <v>689</v>
      </c>
      <c r="J1" s="79" t="s">
        <v>690</v>
      </c>
      <c r="K1" s="79" t="s">
        <v>691</v>
      </c>
      <c r="L1" s="79" t="s">
        <v>692</v>
      </c>
      <c r="M1" s="79" t="s">
        <v>693</v>
      </c>
      <c r="N1" s="79" t="s">
        <v>694</v>
      </c>
      <c r="O1" s="79" t="s">
        <v>695</v>
      </c>
      <c r="P1" s="79" t="s">
        <v>696</v>
      </c>
      <c r="Q1" s="79" t="s">
        <v>697</v>
      </c>
      <c r="R1" s="79" t="s">
        <v>698</v>
      </c>
      <c r="S1" s="79" t="s">
        <v>699</v>
      </c>
      <c r="T1" s="79" t="s">
        <v>1364</v>
      </c>
      <c r="U1" s="79" t="s">
        <v>1365</v>
      </c>
      <c r="V1" s="81" t="s">
        <v>1375</v>
      </c>
      <c r="W1" s="81" t="s">
        <v>1376</v>
      </c>
      <c r="X1" s="81" t="s">
        <v>1377</v>
      </c>
      <c r="Y1" s="81" t="s">
        <v>1378</v>
      </c>
      <c r="Z1" s="81" t="s">
        <v>1379</v>
      </c>
    </row>
    <row r="2" spans="1:26">
      <c r="A2" s="79">
        <v>341</v>
      </c>
      <c r="B2" s="79" t="s">
        <v>57</v>
      </c>
      <c r="C2" s="79" t="s">
        <v>668</v>
      </c>
      <c r="D2" s="79" t="s">
        <v>1215</v>
      </c>
      <c r="E2" s="79">
        <v>1977</v>
      </c>
      <c r="F2" s="79" t="s">
        <v>30</v>
      </c>
      <c r="G2" s="79" t="s">
        <v>58</v>
      </c>
      <c r="H2" s="79" t="s">
        <v>59</v>
      </c>
      <c r="I2" s="79">
        <v>1177043501</v>
      </c>
      <c r="J2" s="79" t="s">
        <v>315</v>
      </c>
      <c r="K2" s="79">
        <v>18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1">
        <v>3.5</v>
      </c>
      <c r="W2" s="81">
        <v>2</v>
      </c>
      <c r="X2" s="81">
        <v>4</v>
      </c>
      <c r="Y2" s="81">
        <v>4</v>
      </c>
      <c r="Z2" s="81">
        <v>4</v>
      </c>
    </row>
    <row r="3" spans="1:26">
      <c r="A3" s="79">
        <v>343</v>
      </c>
      <c r="B3" s="79" t="s">
        <v>685</v>
      </c>
      <c r="C3" s="79" t="s">
        <v>684</v>
      </c>
      <c r="D3" s="79" t="s">
        <v>1218</v>
      </c>
      <c r="E3" s="79">
        <v>1977</v>
      </c>
      <c r="F3" s="79" t="s">
        <v>21</v>
      </c>
      <c r="G3" s="79" t="s">
        <v>62</v>
      </c>
      <c r="H3" s="79" t="s">
        <v>61</v>
      </c>
      <c r="I3" s="79" t="s">
        <v>715</v>
      </c>
      <c r="J3" s="79" t="s">
        <v>711</v>
      </c>
      <c r="K3" s="79">
        <v>18</v>
      </c>
      <c r="L3" s="79"/>
      <c r="M3" s="79"/>
      <c r="N3" s="79"/>
      <c r="O3" s="79"/>
      <c r="P3" s="79"/>
      <c r="Q3" s="79"/>
      <c r="R3" s="79"/>
      <c r="S3" s="79"/>
      <c r="T3" s="79"/>
      <c r="U3" s="79"/>
      <c r="V3" s="81">
        <v>3.5</v>
      </c>
      <c r="W3" s="81">
        <v>2</v>
      </c>
      <c r="X3" s="81">
        <v>4</v>
      </c>
      <c r="Y3" s="81">
        <v>4</v>
      </c>
      <c r="Z3" s="81">
        <v>3.5</v>
      </c>
    </row>
    <row r="4" spans="1:26">
      <c r="A4" s="79">
        <v>342</v>
      </c>
      <c r="B4" s="79" t="s">
        <v>60</v>
      </c>
      <c r="C4" s="79" t="s">
        <v>664</v>
      </c>
      <c r="D4" s="79" t="s">
        <v>1216</v>
      </c>
      <c r="E4" s="79">
        <v>1976</v>
      </c>
      <c r="F4" s="79" t="s">
        <v>21</v>
      </c>
      <c r="G4" s="79" t="s">
        <v>26</v>
      </c>
      <c r="H4" s="79" t="s">
        <v>61</v>
      </c>
      <c r="I4" s="79" t="s">
        <v>518</v>
      </c>
      <c r="J4" s="79" t="s">
        <v>315</v>
      </c>
      <c r="K4" s="79">
        <v>18</v>
      </c>
      <c r="L4" s="79"/>
      <c r="M4" s="79"/>
      <c r="N4" s="79"/>
      <c r="O4" s="79"/>
      <c r="P4" s="79"/>
      <c r="Q4" s="79"/>
      <c r="R4" s="79"/>
      <c r="S4" s="79"/>
      <c r="T4" s="79"/>
      <c r="U4" s="79"/>
      <c r="V4" s="81">
        <v>4.5</v>
      </c>
      <c r="W4" s="81">
        <v>3.5</v>
      </c>
      <c r="X4" s="81">
        <v>4.5</v>
      </c>
      <c r="Y4" s="81">
        <v>5</v>
      </c>
      <c r="Z4" s="81">
        <v>4</v>
      </c>
    </row>
    <row r="5" spans="1:26">
      <c r="A5" s="79">
        <v>399</v>
      </c>
      <c r="B5" s="79" t="s">
        <v>169</v>
      </c>
      <c r="C5" s="79" t="s">
        <v>1158</v>
      </c>
      <c r="D5" s="79" t="s">
        <v>1222</v>
      </c>
      <c r="E5" s="79">
        <v>1975</v>
      </c>
      <c r="F5" s="79" t="s">
        <v>21</v>
      </c>
      <c r="G5" s="79" t="s">
        <v>80</v>
      </c>
      <c r="H5" s="79" t="s">
        <v>81</v>
      </c>
      <c r="I5" s="79">
        <v>1175032774</v>
      </c>
      <c r="J5" s="79" t="s">
        <v>315</v>
      </c>
      <c r="K5" s="79">
        <v>20</v>
      </c>
      <c r="L5" s="79"/>
      <c r="M5" s="79"/>
      <c r="N5" s="79"/>
      <c r="O5" s="79"/>
      <c r="P5" s="79"/>
      <c r="Q5" s="79"/>
      <c r="R5" s="79"/>
      <c r="S5" s="79"/>
      <c r="T5" s="79"/>
      <c r="U5" s="79"/>
      <c r="V5" s="81">
        <v>4</v>
      </c>
      <c r="W5" s="81">
        <v>3.5</v>
      </c>
      <c r="X5" s="81">
        <v>4.5</v>
      </c>
      <c r="Y5" s="81">
        <v>3.5</v>
      </c>
      <c r="Z5" s="81">
        <v>4</v>
      </c>
    </row>
    <row r="6" spans="1:26">
      <c r="A6" s="79">
        <v>344</v>
      </c>
      <c r="B6" s="79" t="s">
        <v>63</v>
      </c>
      <c r="C6" s="79" t="s">
        <v>670</v>
      </c>
      <c r="D6" s="79" t="s">
        <v>1220</v>
      </c>
      <c r="E6" s="79">
        <v>1975</v>
      </c>
      <c r="F6" s="79" t="s">
        <v>21</v>
      </c>
      <c r="G6" s="79" t="s">
        <v>64</v>
      </c>
      <c r="H6" s="79" t="s">
        <v>27</v>
      </c>
      <c r="I6" s="79" t="s">
        <v>651</v>
      </c>
      <c r="J6" s="79" t="s">
        <v>315</v>
      </c>
      <c r="K6" s="79">
        <v>18</v>
      </c>
      <c r="L6" s="79"/>
      <c r="M6" s="79"/>
      <c r="N6" s="79"/>
      <c r="O6" s="79"/>
      <c r="P6" s="79"/>
      <c r="Q6" s="79"/>
      <c r="R6" s="79"/>
      <c r="S6" s="79"/>
      <c r="T6" s="79"/>
      <c r="U6" s="79"/>
      <c r="V6" s="81">
        <v>3.5</v>
      </c>
      <c r="W6" s="81">
        <v>2</v>
      </c>
      <c r="X6" s="81">
        <v>4.5</v>
      </c>
      <c r="Y6" s="81">
        <v>4</v>
      </c>
      <c r="Z6" s="81">
        <v>4</v>
      </c>
    </row>
    <row r="7" spans="1:26">
      <c r="A7" s="79">
        <v>391</v>
      </c>
      <c r="B7" s="79" t="s">
        <v>155</v>
      </c>
      <c r="C7" s="79" t="s">
        <v>1114</v>
      </c>
      <c r="D7" s="79" t="s">
        <v>1260</v>
      </c>
      <c r="E7" s="79">
        <v>1978</v>
      </c>
      <c r="F7" s="79" t="s">
        <v>21</v>
      </c>
      <c r="G7" s="79" t="s">
        <v>156</v>
      </c>
      <c r="H7" s="79" t="s">
        <v>157</v>
      </c>
      <c r="I7" s="79" t="s">
        <v>830</v>
      </c>
      <c r="J7" s="79" t="s">
        <v>394</v>
      </c>
      <c r="K7" s="79">
        <v>20</v>
      </c>
      <c r="L7" s="79"/>
      <c r="M7" s="79"/>
      <c r="N7" s="79"/>
      <c r="O7" s="79"/>
      <c r="P7" s="79"/>
      <c r="Q7" s="79"/>
      <c r="R7" s="79"/>
      <c r="S7" s="79"/>
      <c r="T7" s="79"/>
      <c r="U7" s="79"/>
      <c r="V7" s="81">
        <v>4.5</v>
      </c>
      <c r="W7" s="81">
        <v>3</v>
      </c>
      <c r="X7" s="81">
        <v>5.5</v>
      </c>
      <c r="Y7" s="81">
        <v>5.5</v>
      </c>
      <c r="Z7" s="81">
        <v>4.5</v>
      </c>
    </row>
    <row r="8" spans="1:26">
      <c r="A8">
        <v>345</v>
      </c>
      <c r="B8" s="79" t="s">
        <v>65</v>
      </c>
      <c r="C8" s="79" t="s">
        <v>667</v>
      </c>
      <c r="D8" s="79" t="s">
        <v>1221</v>
      </c>
      <c r="E8">
        <v>1977</v>
      </c>
      <c r="F8" s="79" t="s">
        <v>21</v>
      </c>
      <c r="G8" s="79" t="s">
        <v>66</v>
      </c>
      <c r="H8" s="79" t="s">
        <v>27</v>
      </c>
      <c r="I8" t="s">
        <v>586</v>
      </c>
      <c r="J8" t="s">
        <v>394</v>
      </c>
      <c r="K8">
        <v>18</v>
      </c>
      <c r="V8" s="82">
        <v>4</v>
      </c>
      <c r="W8" s="82">
        <v>3.5</v>
      </c>
      <c r="X8" s="82">
        <v>4.5</v>
      </c>
      <c r="Y8" s="82">
        <v>5</v>
      </c>
      <c r="Z8" s="82">
        <v>3.5</v>
      </c>
    </row>
    <row r="9" spans="1:26">
      <c r="A9">
        <v>4</v>
      </c>
      <c r="B9" s="79" t="s">
        <v>67</v>
      </c>
      <c r="C9" s="79" t="s">
        <v>669</v>
      </c>
      <c r="D9" s="79" t="s">
        <v>1223</v>
      </c>
      <c r="E9">
        <v>1983</v>
      </c>
      <c r="F9" s="79" t="s">
        <v>19</v>
      </c>
      <c r="G9" s="79" t="s">
        <v>68</v>
      </c>
      <c r="H9" s="79" t="s">
        <v>20</v>
      </c>
      <c r="I9" t="s">
        <v>1211</v>
      </c>
      <c r="J9" t="s">
        <v>377</v>
      </c>
      <c r="K9">
        <v>18</v>
      </c>
      <c r="V9" s="82">
        <v>5</v>
      </c>
      <c r="W9" s="82">
        <v>4</v>
      </c>
      <c r="X9" s="82">
        <v>5</v>
      </c>
      <c r="Y9" s="82">
        <v>6</v>
      </c>
      <c r="Z9" s="82">
        <v>4</v>
      </c>
    </row>
    <row r="10" spans="1:26">
      <c r="A10">
        <v>347</v>
      </c>
      <c r="B10" s="79" t="s">
        <v>69</v>
      </c>
      <c r="C10" s="79" t="s">
        <v>661</v>
      </c>
      <c r="D10" s="79" t="s">
        <v>1225</v>
      </c>
      <c r="E10">
        <v>1975</v>
      </c>
      <c r="F10" s="79" t="s">
        <v>21</v>
      </c>
      <c r="G10" s="79" t="s">
        <v>70</v>
      </c>
      <c r="H10" s="79" t="s">
        <v>71</v>
      </c>
      <c r="I10" t="s">
        <v>405</v>
      </c>
      <c r="J10" t="s">
        <v>315</v>
      </c>
      <c r="K10">
        <v>18</v>
      </c>
      <c r="V10" s="82">
        <v>4.5</v>
      </c>
      <c r="W10" s="82">
        <v>3.5</v>
      </c>
      <c r="X10" s="82">
        <v>4</v>
      </c>
      <c r="Y10" s="82">
        <v>6</v>
      </c>
      <c r="Z10" s="82">
        <v>4.5</v>
      </c>
    </row>
    <row r="11" spans="1:26">
      <c r="A11">
        <v>392</v>
      </c>
      <c r="B11" s="79" t="s">
        <v>158</v>
      </c>
      <c r="C11" s="79" t="s">
        <v>1086</v>
      </c>
      <c r="D11" s="79" t="s">
        <v>1261</v>
      </c>
      <c r="E11">
        <v>1976</v>
      </c>
      <c r="F11" s="79" t="s">
        <v>21</v>
      </c>
      <c r="G11" s="79" t="s">
        <v>156</v>
      </c>
      <c r="H11" s="79" t="s">
        <v>157</v>
      </c>
      <c r="I11" t="s">
        <v>889</v>
      </c>
      <c r="J11" t="s">
        <v>315</v>
      </c>
      <c r="K11">
        <v>20</v>
      </c>
      <c r="V11" s="82">
        <v>4.5</v>
      </c>
      <c r="W11" s="82">
        <v>2</v>
      </c>
      <c r="X11" s="82">
        <v>5</v>
      </c>
      <c r="Y11" s="82">
        <v>6</v>
      </c>
      <c r="Z11" s="82">
        <v>5</v>
      </c>
    </row>
    <row r="12" spans="1:26">
      <c r="A12">
        <v>348</v>
      </c>
      <c r="B12" s="79" t="s">
        <v>72</v>
      </c>
      <c r="C12" s="79" t="s">
        <v>662</v>
      </c>
      <c r="D12" s="79" t="s">
        <v>1226</v>
      </c>
      <c r="E12">
        <v>1977</v>
      </c>
      <c r="F12" s="79" t="s">
        <v>19</v>
      </c>
      <c r="G12" s="79" t="s">
        <v>73</v>
      </c>
      <c r="H12" s="79" t="s">
        <v>71</v>
      </c>
      <c r="I12" t="s">
        <v>411</v>
      </c>
      <c r="J12" t="s">
        <v>377</v>
      </c>
      <c r="K12">
        <v>18</v>
      </c>
      <c r="V12" s="82">
        <v>4.5</v>
      </c>
      <c r="W12" s="82">
        <v>3</v>
      </c>
      <c r="X12" s="82">
        <v>4.5</v>
      </c>
      <c r="Y12" s="82">
        <v>5.5</v>
      </c>
      <c r="Z12" s="82">
        <v>4.5</v>
      </c>
    </row>
    <row r="13" spans="1:26">
      <c r="A13">
        <v>349</v>
      </c>
      <c r="B13" s="79" t="s">
        <v>74</v>
      </c>
      <c r="C13" s="79" t="s">
        <v>665</v>
      </c>
      <c r="D13" s="79" t="s">
        <v>1227</v>
      </c>
      <c r="E13">
        <v>1975</v>
      </c>
      <c r="F13" s="79" t="s">
        <v>21</v>
      </c>
      <c r="G13" s="79" t="s">
        <v>75</v>
      </c>
      <c r="H13" s="79" t="s">
        <v>76</v>
      </c>
      <c r="I13" t="s">
        <v>537</v>
      </c>
      <c r="J13" t="s">
        <v>315</v>
      </c>
      <c r="K13">
        <v>18</v>
      </c>
      <c r="V13" s="82">
        <v>4.5</v>
      </c>
      <c r="W13" s="82">
        <v>3</v>
      </c>
      <c r="X13" s="82">
        <v>4.5</v>
      </c>
      <c r="Y13" s="82">
        <v>5.5</v>
      </c>
      <c r="Z13" s="82">
        <v>4.5</v>
      </c>
    </row>
    <row r="14" spans="1:26">
      <c r="A14">
        <v>350</v>
      </c>
      <c r="B14" s="79" t="s">
        <v>77</v>
      </c>
      <c r="C14" s="79" t="s">
        <v>663</v>
      </c>
      <c r="D14" s="79" t="s">
        <v>1228</v>
      </c>
      <c r="E14">
        <v>1976</v>
      </c>
      <c r="F14" s="79" t="s">
        <v>21</v>
      </c>
      <c r="G14" s="79" t="s">
        <v>78</v>
      </c>
      <c r="H14" s="79" t="s">
        <v>76</v>
      </c>
      <c r="I14" t="s">
        <v>471</v>
      </c>
      <c r="J14" t="s">
        <v>394</v>
      </c>
      <c r="K14">
        <v>18</v>
      </c>
      <c r="V14" s="82">
        <v>4</v>
      </c>
      <c r="W14" s="82">
        <v>4</v>
      </c>
      <c r="X14" s="82">
        <v>3.5</v>
      </c>
      <c r="Y14" s="82">
        <v>5</v>
      </c>
      <c r="Z14" s="82">
        <v>4</v>
      </c>
    </row>
    <row r="15" spans="1:26">
      <c r="A15">
        <v>388</v>
      </c>
      <c r="B15" s="79" t="s">
        <v>150</v>
      </c>
      <c r="C15" s="79" t="s">
        <v>1113</v>
      </c>
      <c r="D15" s="79" t="s">
        <v>1254</v>
      </c>
      <c r="E15">
        <v>1977</v>
      </c>
      <c r="F15" s="79" t="s">
        <v>30</v>
      </c>
      <c r="G15" s="79" t="s">
        <v>151</v>
      </c>
      <c r="H15" s="79" t="s">
        <v>81</v>
      </c>
      <c r="I15" t="s">
        <v>548</v>
      </c>
      <c r="J15" t="s">
        <v>315</v>
      </c>
      <c r="K15">
        <v>20</v>
      </c>
      <c r="V15" s="82">
        <v>4.5</v>
      </c>
      <c r="W15" s="82">
        <v>3.5</v>
      </c>
      <c r="X15" s="82">
        <v>4.5</v>
      </c>
      <c r="Y15" s="82">
        <v>5.5</v>
      </c>
      <c r="Z15" s="82">
        <v>5</v>
      </c>
    </row>
    <row r="16" spans="1:26">
      <c r="A16">
        <v>351</v>
      </c>
      <c r="B16" s="79" t="s">
        <v>79</v>
      </c>
      <c r="C16" s="79" t="s">
        <v>678</v>
      </c>
      <c r="D16" s="79" t="s">
        <v>1217</v>
      </c>
      <c r="E16">
        <v>1975</v>
      </c>
      <c r="F16" s="79" t="s">
        <v>21</v>
      </c>
      <c r="G16" s="79" t="s">
        <v>80</v>
      </c>
      <c r="H16" s="79" t="s">
        <v>81</v>
      </c>
      <c r="I16">
        <v>0</v>
      </c>
      <c r="J16">
        <v>0</v>
      </c>
      <c r="K16">
        <v>18</v>
      </c>
    </row>
    <row r="17" spans="1:26">
      <c r="A17">
        <v>376</v>
      </c>
      <c r="B17" s="79" t="s">
        <v>130</v>
      </c>
      <c r="C17" s="79" t="s">
        <v>1095</v>
      </c>
      <c r="D17" s="79" t="s">
        <v>1229</v>
      </c>
      <c r="E17">
        <v>1978</v>
      </c>
      <c r="F17" s="79" t="s">
        <v>21</v>
      </c>
      <c r="G17" s="79" t="s">
        <v>64</v>
      </c>
      <c r="H17" s="79" t="s">
        <v>27</v>
      </c>
      <c r="I17">
        <v>1178029862</v>
      </c>
      <c r="J17" t="s">
        <v>315</v>
      </c>
      <c r="K17">
        <v>19</v>
      </c>
      <c r="V17" s="82">
        <v>4</v>
      </c>
      <c r="W17" s="82">
        <v>2</v>
      </c>
      <c r="X17" s="82">
        <v>5</v>
      </c>
      <c r="Y17" s="82">
        <v>5.5</v>
      </c>
      <c r="Z17" s="82">
        <v>4</v>
      </c>
    </row>
    <row r="18" spans="1:26">
      <c r="A18">
        <v>352</v>
      </c>
      <c r="B18" s="79" t="s">
        <v>82</v>
      </c>
      <c r="C18" s="79" t="s">
        <v>683</v>
      </c>
      <c r="D18" s="79" t="s">
        <v>1229</v>
      </c>
      <c r="E18">
        <v>1984</v>
      </c>
      <c r="F18" s="79" t="s">
        <v>21</v>
      </c>
      <c r="G18" s="79" t="s">
        <v>83</v>
      </c>
      <c r="H18" s="79" t="s">
        <v>81</v>
      </c>
      <c r="I18">
        <v>1184022018</v>
      </c>
      <c r="J18" t="s">
        <v>394</v>
      </c>
      <c r="K18">
        <v>18</v>
      </c>
    </row>
    <row r="19" spans="1:26">
      <c r="A19">
        <v>353</v>
      </c>
      <c r="B19" s="79" t="s">
        <v>84</v>
      </c>
      <c r="C19" s="79" t="s">
        <v>680</v>
      </c>
      <c r="D19" s="79" t="s">
        <v>1230</v>
      </c>
      <c r="E19">
        <v>1976</v>
      </c>
      <c r="F19" s="79" t="s">
        <v>21</v>
      </c>
      <c r="G19" s="79" t="s">
        <v>83</v>
      </c>
      <c r="H19" s="79" t="s">
        <v>81</v>
      </c>
      <c r="I19" t="s">
        <v>1010</v>
      </c>
      <c r="J19" t="s">
        <v>394</v>
      </c>
      <c r="K19">
        <v>18</v>
      </c>
    </row>
    <row r="20" spans="1:26">
      <c r="A20">
        <v>374</v>
      </c>
      <c r="B20" s="79" t="s">
        <v>126</v>
      </c>
      <c r="C20" s="79" t="s">
        <v>1096</v>
      </c>
      <c r="D20" s="79" t="s">
        <v>1236</v>
      </c>
      <c r="E20">
        <v>1981</v>
      </c>
      <c r="F20" s="79" t="s">
        <v>19</v>
      </c>
      <c r="G20" s="79" t="s">
        <v>127</v>
      </c>
      <c r="H20" s="79" t="s">
        <v>121</v>
      </c>
      <c r="I20" t="s">
        <v>1189</v>
      </c>
      <c r="J20" t="s">
        <v>377</v>
      </c>
      <c r="K20">
        <v>19</v>
      </c>
      <c r="V20" s="82">
        <v>4.5</v>
      </c>
      <c r="W20" s="82">
        <v>3.5</v>
      </c>
      <c r="X20" s="82">
        <v>5</v>
      </c>
      <c r="Y20" s="82">
        <v>5.5</v>
      </c>
      <c r="Z20" s="82">
        <v>4</v>
      </c>
    </row>
    <row r="21" spans="1:26">
      <c r="A21">
        <v>354</v>
      </c>
      <c r="B21" s="79" t="s">
        <v>85</v>
      </c>
      <c r="C21" s="79" t="s">
        <v>675</v>
      </c>
      <c r="D21" s="79" t="s">
        <v>1231</v>
      </c>
      <c r="E21">
        <v>1974</v>
      </c>
      <c r="F21" s="79" t="s">
        <v>21</v>
      </c>
      <c r="G21" s="79" t="s">
        <v>86</v>
      </c>
      <c r="H21" s="79" t="s">
        <v>81</v>
      </c>
      <c r="I21">
        <v>1074022571</v>
      </c>
      <c r="J21" t="s">
        <v>315</v>
      </c>
      <c r="K21">
        <v>18</v>
      </c>
    </row>
    <row r="22" spans="1:26">
      <c r="A22">
        <v>355</v>
      </c>
      <c r="B22" s="79" t="s">
        <v>87</v>
      </c>
      <c r="C22" s="79" t="s">
        <v>676</v>
      </c>
      <c r="D22" s="79" t="s">
        <v>1232</v>
      </c>
      <c r="E22">
        <v>1984</v>
      </c>
      <c r="F22" s="79" t="s">
        <v>19</v>
      </c>
      <c r="G22" s="79" t="s">
        <v>88</v>
      </c>
      <c r="H22" s="79" t="s">
        <v>20</v>
      </c>
      <c r="I22">
        <v>1184030240</v>
      </c>
      <c r="J22" t="s">
        <v>654</v>
      </c>
      <c r="K22">
        <v>18</v>
      </c>
    </row>
    <row r="23" spans="1:26">
      <c r="A23">
        <v>356</v>
      </c>
      <c r="B23" s="79" t="s">
        <v>89</v>
      </c>
      <c r="C23" s="79" t="s">
        <v>682</v>
      </c>
      <c r="D23" s="79" t="s">
        <v>1234</v>
      </c>
      <c r="E23">
        <v>1980</v>
      </c>
      <c r="F23" s="79" t="s">
        <v>19</v>
      </c>
      <c r="G23" s="79" t="s">
        <v>90</v>
      </c>
      <c r="H23" s="79" t="s">
        <v>91</v>
      </c>
      <c r="I23">
        <v>1180014694</v>
      </c>
      <c r="J23" t="s">
        <v>654</v>
      </c>
      <c r="K23">
        <v>18</v>
      </c>
    </row>
    <row r="24" spans="1:26">
      <c r="A24">
        <v>357</v>
      </c>
      <c r="B24" s="79" t="s">
        <v>92</v>
      </c>
      <c r="C24" s="79" t="s">
        <v>681</v>
      </c>
      <c r="D24" s="79" t="s">
        <v>1235</v>
      </c>
      <c r="E24">
        <v>1980</v>
      </c>
      <c r="F24" s="79" t="s">
        <v>19</v>
      </c>
      <c r="G24" s="79" t="s">
        <v>93</v>
      </c>
      <c r="H24" s="79" t="s">
        <v>94</v>
      </c>
      <c r="I24">
        <v>1180005662</v>
      </c>
      <c r="J24" t="s">
        <v>654</v>
      </c>
      <c r="K24">
        <v>18</v>
      </c>
    </row>
    <row r="25" spans="1:26">
      <c r="A25">
        <v>358</v>
      </c>
      <c r="B25" s="79" t="s">
        <v>95</v>
      </c>
      <c r="C25" s="79" t="s">
        <v>677</v>
      </c>
      <c r="D25" s="79" t="s">
        <v>1236</v>
      </c>
      <c r="E25">
        <v>1977</v>
      </c>
      <c r="F25" s="79" t="s">
        <v>19</v>
      </c>
      <c r="G25" s="79" t="s">
        <v>96</v>
      </c>
      <c r="H25" s="79" t="s">
        <v>97</v>
      </c>
      <c r="I25" t="s">
        <v>996</v>
      </c>
      <c r="J25" t="s">
        <v>654</v>
      </c>
      <c r="K25">
        <v>18</v>
      </c>
    </row>
    <row r="26" spans="1:26">
      <c r="A26">
        <v>359</v>
      </c>
      <c r="B26" s="79" t="s">
        <v>98</v>
      </c>
      <c r="C26" s="79" t="s">
        <v>679</v>
      </c>
      <c r="D26" s="79" t="s">
        <v>1237</v>
      </c>
      <c r="E26">
        <v>1977</v>
      </c>
      <c r="F26" s="79" t="s">
        <v>21</v>
      </c>
      <c r="G26" s="79" t="s">
        <v>99</v>
      </c>
      <c r="H26" s="79" t="s">
        <v>100</v>
      </c>
      <c r="I26">
        <v>27177000344</v>
      </c>
      <c r="J26" t="s">
        <v>315</v>
      </c>
      <c r="K26">
        <v>18</v>
      </c>
    </row>
    <row r="27" spans="1:26">
      <c r="A27">
        <v>360</v>
      </c>
      <c r="B27" s="79" t="s">
        <v>101</v>
      </c>
      <c r="C27" s="79" t="s">
        <v>674</v>
      </c>
      <c r="D27" s="79" t="s">
        <v>1238</v>
      </c>
      <c r="E27">
        <v>1976</v>
      </c>
      <c r="F27" s="79" t="s">
        <v>21</v>
      </c>
      <c r="G27" s="79" t="s">
        <v>99</v>
      </c>
      <c r="H27" s="79" t="s">
        <v>100</v>
      </c>
      <c r="I27">
        <v>1176045858</v>
      </c>
      <c r="J27" t="s">
        <v>315</v>
      </c>
      <c r="K27">
        <v>18</v>
      </c>
    </row>
    <row r="28" spans="1:26">
      <c r="A28">
        <v>361</v>
      </c>
      <c r="B28" s="79" t="s">
        <v>102</v>
      </c>
      <c r="C28" s="79" t="s">
        <v>1094</v>
      </c>
      <c r="D28" s="79" t="s">
        <v>1239</v>
      </c>
      <c r="E28">
        <v>1976</v>
      </c>
      <c r="F28" s="79" t="s">
        <v>21</v>
      </c>
      <c r="G28" s="79" t="s">
        <v>44</v>
      </c>
      <c r="H28" s="79" t="s">
        <v>100</v>
      </c>
      <c r="I28" t="s">
        <v>560</v>
      </c>
      <c r="J28" t="s">
        <v>315</v>
      </c>
      <c r="K28">
        <v>19</v>
      </c>
      <c r="V28" s="82">
        <v>4.5</v>
      </c>
      <c r="W28" s="82">
        <v>3.5</v>
      </c>
      <c r="X28" s="82">
        <v>4.5</v>
      </c>
      <c r="Y28" s="82">
        <v>5.5</v>
      </c>
      <c r="Z28" s="82">
        <v>5</v>
      </c>
    </row>
    <row r="29" spans="1:26">
      <c r="A29">
        <v>372</v>
      </c>
      <c r="B29" s="79" t="s">
        <v>122</v>
      </c>
      <c r="C29" s="79" t="s">
        <v>1098</v>
      </c>
      <c r="D29" s="79" t="s">
        <v>1222</v>
      </c>
      <c r="E29">
        <v>1978</v>
      </c>
      <c r="F29" s="79" t="s">
        <v>19</v>
      </c>
      <c r="G29" s="79" t="s">
        <v>123</v>
      </c>
      <c r="H29" s="79" t="s">
        <v>71</v>
      </c>
      <c r="I29" t="s">
        <v>962</v>
      </c>
      <c r="J29" t="s">
        <v>654</v>
      </c>
      <c r="K29">
        <v>19</v>
      </c>
      <c r="V29" s="82">
        <v>4.5</v>
      </c>
      <c r="W29" s="82">
        <v>3.5</v>
      </c>
      <c r="X29" s="82">
        <v>4.5</v>
      </c>
      <c r="Y29" s="82">
        <v>5.5</v>
      </c>
      <c r="Z29" s="82">
        <v>4</v>
      </c>
    </row>
    <row r="30" spans="1:26">
      <c r="A30">
        <v>362</v>
      </c>
      <c r="B30" s="79" t="s">
        <v>103</v>
      </c>
      <c r="C30" s="79" t="s">
        <v>1145</v>
      </c>
      <c r="D30" s="79" t="s">
        <v>1230</v>
      </c>
      <c r="E30">
        <v>1975</v>
      </c>
      <c r="F30" s="79" t="s">
        <v>21</v>
      </c>
      <c r="G30" s="79" t="s">
        <v>104</v>
      </c>
      <c r="H30" s="79" t="s">
        <v>20</v>
      </c>
      <c r="I30" t="s">
        <v>493</v>
      </c>
      <c r="J30" t="s">
        <v>327</v>
      </c>
      <c r="K30">
        <v>19</v>
      </c>
    </row>
    <row r="31" spans="1:26">
      <c r="A31">
        <v>384</v>
      </c>
      <c r="B31" s="79" t="s">
        <v>141</v>
      </c>
      <c r="C31" s="79" t="s">
        <v>1102</v>
      </c>
      <c r="D31" s="79" t="s">
        <v>1254</v>
      </c>
      <c r="E31">
        <v>1979</v>
      </c>
      <c r="F31" s="79" t="s">
        <v>21</v>
      </c>
      <c r="G31" s="79" t="s">
        <v>70</v>
      </c>
      <c r="H31" s="79" t="s">
        <v>71</v>
      </c>
      <c r="I31" t="s">
        <v>465</v>
      </c>
      <c r="J31" t="s">
        <v>315</v>
      </c>
      <c r="K31">
        <v>20</v>
      </c>
      <c r="V31" s="82" t="s">
        <v>1335</v>
      </c>
      <c r="W31" s="82" t="s">
        <v>1335</v>
      </c>
      <c r="X31" s="82" t="s">
        <v>1335</v>
      </c>
      <c r="Y31" s="82" t="s">
        <v>1335</v>
      </c>
      <c r="Z31" s="82" t="s">
        <v>1335</v>
      </c>
    </row>
    <row r="32" spans="1:26">
      <c r="A32">
        <v>363</v>
      </c>
      <c r="B32" s="79" t="s">
        <v>105</v>
      </c>
      <c r="C32" s="79" t="s">
        <v>1367</v>
      </c>
      <c r="D32" s="79" t="s">
        <v>1240</v>
      </c>
      <c r="E32">
        <v>1975</v>
      </c>
      <c r="F32" s="79" t="s">
        <v>21</v>
      </c>
      <c r="G32" s="79" t="s">
        <v>48</v>
      </c>
      <c r="H32" s="79" t="s">
        <v>100</v>
      </c>
      <c r="I32" t="s">
        <v>488</v>
      </c>
      <c r="J32" t="s">
        <v>358</v>
      </c>
      <c r="K32">
        <v>19</v>
      </c>
    </row>
    <row r="33" spans="1:26">
      <c r="A33">
        <v>364</v>
      </c>
      <c r="B33" s="79" t="s">
        <v>106</v>
      </c>
      <c r="C33" s="79" t="s">
        <v>1368</v>
      </c>
      <c r="D33" s="79" t="s">
        <v>1241</v>
      </c>
      <c r="E33">
        <v>1984</v>
      </c>
      <c r="F33" s="79" t="s">
        <v>30</v>
      </c>
      <c r="G33" s="79" t="s">
        <v>107</v>
      </c>
      <c r="H33" s="79" t="s">
        <v>100</v>
      </c>
      <c r="I33" t="s">
        <v>427</v>
      </c>
      <c r="J33" t="s">
        <v>377</v>
      </c>
      <c r="K33">
        <v>19</v>
      </c>
    </row>
    <row r="34" spans="1:26">
      <c r="A34">
        <v>367</v>
      </c>
      <c r="B34" s="79" t="s">
        <v>111</v>
      </c>
      <c r="C34" s="79" t="s">
        <v>1100</v>
      </c>
      <c r="D34" s="79" t="s">
        <v>1244</v>
      </c>
      <c r="E34">
        <v>1977</v>
      </c>
      <c r="F34" s="79" t="s">
        <v>30</v>
      </c>
      <c r="G34" s="79" t="s">
        <v>110</v>
      </c>
      <c r="H34" s="79" t="s">
        <v>100</v>
      </c>
      <c r="I34" t="s">
        <v>451</v>
      </c>
      <c r="J34" t="s">
        <v>327</v>
      </c>
      <c r="K34">
        <v>19</v>
      </c>
      <c r="V34" s="82" t="s">
        <v>1335</v>
      </c>
      <c r="Z34" s="82" t="s">
        <v>1335</v>
      </c>
    </row>
    <row r="35" spans="1:26">
      <c r="A35">
        <v>365</v>
      </c>
      <c r="B35" s="79" t="s">
        <v>108</v>
      </c>
      <c r="C35" s="79" t="s">
        <v>1074</v>
      </c>
      <c r="D35" s="79" t="s">
        <v>1242</v>
      </c>
      <c r="E35">
        <v>1976</v>
      </c>
      <c r="F35" s="79" t="s">
        <v>30</v>
      </c>
      <c r="G35" s="79" t="s">
        <v>107</v>
      </c>
      <c r="H35" s="79" t="s">
        <v>100</v>
      </c>
      <c r="I35" t="s">
        <v>380</v>
      </c>
      <c r="J35" t="s">
        <v>377</v>
      </c>
      <c r="K35">
        <v>19</v>
      </c>
    </row>
    <row r="36" spans="1:26">
      <c r="A36">
        <v>366</v>
      </c>
      <c r="B36" s="79" t="s">
        <v>109</v>
      </c>
      <c r="C36" s="79" t="s">
        <v>1066</v>
      </c>
      <c r="D36" s="79" t="s">
        <v>1243</v>
      </c>
      <c r="E36">
        <v>1978</v>
      </c>
      <c r="F36" s="79" t="s">
        <v>30</v>
      </c>
      <c r="G36" s="79" t="s">
        <v>110</v>
      </c>
      <c r="H36" s="79" t="s">
        <v>100</v>
      </c>
      <c r="I36" t="s">
        <v>369</v>
      </c>
      <c r="J36" t="s">
        <v>315</v>
      </c>
      <c r="K36">
        <v>19</v>
      </c>
      <c r="V36" s="82" t="s">
        <v>1335</v>
      </c>
      <c r="Z36" s="82" t="s">
        <v>1335</v>
      </c>
    </row>
    <row r="37" spans="1:26">
      <c r="A37">
        <v>398</v>
      </c>
      <c r="B37" s="79" t="s">
        <v>167</v>
      </c>
      <c r="C37" s="79" t="s">
        <v>1105</v>
      </c>
      <c r="D37" s="79" t="s">
        <v>1258</v>
      </c>
      <c r="E37">
        <v>1976</v>
      </c>
      <c r="F37" s="79" t="s">
        <v>21</v>
      </c>
      <c r="G37" s="79" t="s">
        <v>168</v>
      </c>
      <c r="H37" s="79" t="s">
        <v>81</v>
      </c>
      <c r="I37">
        <v>1176033068</v>
      </c>
      <c r="J37" t="s">
        <v>315</v>
      </c>
      <c r="K37">
        <v>20</v>
      </c>
      <c r="V37" s="82">
        <v>5</v>
      </c>
      <c r="W37" s="82">
        <v>4</v>
      </c>
      <c r="X37" s="82">
        <v>5.5</v>
      </c>
      <c r="Y37" s="82">
        <v>5.5</v>
      </c>
      <c r="Z37" s="82">
        <v>5.5</v>
      </c>
    </row>
    <row r="38" spans="1:26">
      <c r="A38">
        <v>393</v>
      </c>
      <c r="B38" s="79" t="s">
        <v>159</v>
      </c>
      <c r="C38" s="79" t="s">
        <v>1107</v>
      </c>
      <c r="D38" s="79" t="s">
        <v>1249</v>
      </c>
      <c r="E38">
        <v>1977</v>
      </c>
      <c r="F38" s="79" t="s">
        <v>21</v>
      </c>
      <c r="G38" s="79" t="s">
        <v>160</v>
      </c>
      <c r="H38" s="79" t="s">
        <v>76</v>
      </c>
      <c r="I38" t="s">
        <v>977</v>
      </c>
      <c r="J38" t="s">
        <v>315</v>
      </c>
      <c r="K38">
        <v>20</v>
      </c>
      <c r="V38" s="82">
        <v>4.5</v>
      </c>
      <c r="W38" s="82">
        <v>4</v>
      </c>
      <c r="X38" s="82">
        <v>4.5</v>
      </c>
      <c r="Y38" s="82">
        <v>5.5</v>
      </c>
      <c r="Z38" s="82">
        <v>4</v>
      </c>
    </row>
    <row r="39" spans="1:26">
      <c r="A39">
        <v>368</v>
      </c>
      <c r="B39" s="79" t="s">
        <v>112</v>
      </c>
      <c r="C39" s="79" t="s">
        <v>1092</v>
      </c>
      <c r="D39" s="79" t="s">
        <v>1245</v>
      </c>
      <c r="E39">
        <v>1985</v>
      </c>
      <c r="F39" s="79" t="s">
        <v>30</v>
      </c>
      <c r="G39" s="79" t="s">
        <v>113</v>
      </c>
      <c r="H39" s="79" t="s">
        <v>114</v>
      </c>
      <c r="I39">
        <v>35185004411</v>
      </c>
      <c r="J39" t="s">
        <v>358</v>
      </c>
      <c r="K39">
        <v>19</v>
      </c>
      <c r="V39" s="82">
        <v>5</v>
      </c>
      <c r="W39" s="82">
        <v>4</v>
      </c>
      <c r="X39" s="82">
        <v>5.5</v>
      </c>
      <c r="Y39" s="82">
        <v>5.5</v>
      </c>
      <c r="Z39" s="82">
        <v>4.5</v>
      </c>
    </row>
    <row r="40" spans="1:26">
      <c r="A40">
        <v>369</v>
      </c>
      <c r="B40" s="79" t="s">
        <v>115</v>
      </c>
      <c r="C40" s="79" t="s">
        <v>1077</v>
      </c>
      <c r="D40" s="79" t="s">
        <v>1246</v>
      </c>
      <c r="E40">
        <v>1987</v>
      </c>
      <c r="F40" s="79" t="s">
        <v>19</v>
      </c>
      <c r="G40" s="79" t="s">
        <v>116</v>
      </c>
      <c r="H40" s="79" t="s">
        <v>61</v>
      </c>
      <c r="I40" t="s">
        <v>845</v>
      </c>
      <c r="J40" t="s">
        <v>840</v>
      </c>
      <c r="K40">
        <v>19</v>
      </c>
    </row>
    <row r="41" spans="1:26">
      <c r="A41">
        <v>383</v>
      </c>
      <c r="B41" s="79" t="s">
        <v>139</v>
      </c>
      <c r="C41" s="79" t="s">
        <v>1155</v>
      </c>
      <c r="D41" s="79" t="s">
        <v>1253</v>
      </c>
      <c r="E41">
        <v>1984</v>
      </c>
      <c r="F41" s="79" t="s">
        <v>21</v>
      </c>
      <c r="G41" s="79" t="s">
        <v>140</v>
      </c>
      <c r="H41" s="79" t="s">
        <v>61</v>
      </c>
      <c r="I41" t="s">
        <v>592</v>
      </c>
      <c r="J41" t="s">
        <v>315</v>
      </c>
      <c r="K41">
        <v>20</v>
      </c>
      <c r="V41" s="82">
        <v>4.5</v>
      </c>
      <c r="W41" s="82">
        <v>3.5</v>
      </c>
      <c r="X41" s="82">
        <v>4</v>
      </c>
      <c r="Y41" s="82">
        <v>6</v>
      </c>
      <c r="Z41" s="82">
        <v>5</v>
      </c>
    </row>
    <row r="42" spans="1:26">
      <c r="A42">
        <v>370</v>
      </c>
      <c r="B42" s="79" t="s">
        <v>117</v>
      </c>
      <c r="C42" s="79" t="s">
        <v>1147</v>
      </c>
      <c r="D42" s="79" t="s">
        <v>1216</v>
      </c>
      <c r="E42">
        <v>1983</v>
      </c>
      <c r="F42" s="79" t="s">
        <v>19</v>
      </c>
      <c r="G42" s="79" t="s">
        <v>118</v>
      </c>
      <c r="H42" s="79" t="s">
        <v>71</v>
      </c>
      <c r="I42" t="s">
        <v>895</v>
      </c>
      <c r="J42" t="s">
        <v>327</v>
      </c>
      <c r="K42">
        <v>19</v>
      </c>
    </row>
    <row r="43" spans="1:26">
      <c r="A43">
        <v>371</v>
      </c>
      <c r="B43" s="79" t="s">
        <v>119</v>
      </c>
      <c r="C43" s="79" t="s">
        <v>1148</v>
      </c>
      <c r="D43" s="79" t="s">
        <v>1247</v>
      </c>
      <c r="E43">
        <v>1984</v>
      </c>
      <c r="F43" s="79" t="s">
        <v>19</v>
      </c>
      <c r="G43" s="79" t="s">
        <v>120</v>
      </c>
      <c r="H43" s="79" t="s">
        <v>121</v>
      </c>
      <c r="I43" t="s">
        <v>940</v>
      </c>
      <c r="J43" t="s">
        <v>327</v>
      </c>
      <c r="K43">
        <v>19</v>
      </c>
    </row>
    <row r="44" spans="1:26">
      <c r="A44">
        <v>373</v>
      </c>
      <c r="B44" s="79" t="s">
        <v>124</v>
      </c>
      <c r="C44" s="79" t="s">
        <v>1059</v>
      </c>
      <c r="D44" s="79" t="s">
        <v>1248</v>
      </c>
      <c r="E44">
        <v>1985</v>
      </c>
      <c r="F44" s="79" t="s">
        <v>19</v>
      </c>
      <c r="G44" s="79" t="s">
        <v>125</v>
      </c>
      <c r="H44" s="79" t="s">
        <v>61</v>
      </c>
      <c r="I44" t="s">
        <v>1024</v>
      </c>
      <c r="J44" t="s">
        <v>327</v>
      </c>
      <c r="K44">
        <v>19</v>
      </c>
    </row>
    <row r="45" spans="1:26">
      <c r="A45">
        <v>375</v>
      </c>
      <c r="B45" s="79" t="s">
        <v>128</v>
      </c>
      <c r="C45" s="79" t="s">
        <v>1149</v>
      </c>
      <c r="D45" s="79" t="s">
        <v>1230</v>
      </c>
      <c r="E45">
        <v>1982</v>
      </c>
      <c r="F45" s="79" t="s">
        <v>19</v>
      </c>
      <c r="G45" s="79" t="s">
        <v>129</v>
      </c>
      <c r="H45" s="79" t="s">
        <v>27</v>
      </c>
      <c r="I45">
        <v>987892839</v>
      </c>
      <c r="J45" t="s">
        <v>734</v>
      </c>
      <c r="K45">
        <v>19</v>
      </c>
    </row>
    <row r="46" spans="1:26">
      <c r="A46">
        <v>377</v>
      </c>
      <c r="B46" s="79" t="s">
        <v>132</v>
      </c>
      <c r="C46" s="79" t="s">
        <v>1097</v>
      </c>
      <c r="D46" s="79" t="s">
        <v>1249</v>
      </c>
      <c r="E46">
        <v>1978</v>
      </c>
      <c r="F46" s="79" t="s">
        <v>21</v>
      </c>
      <c r="G46" s="79" t="s">
        <v>133</v>
      </c>
      <c r="H46" s="79" t="s">
        <v>27</v>
      </c>
      <c r="I46">
        <v>1178010346</v>
      </c>
      <c r="J46" t="s">
        <v>315</v>
      </c>
      <c r="K46">
        <v>19</v>
      </c>
      <c r="V46" s="82">
        <v>5</v>
      </c>
      <c r="W46" s="82">
        <v>4.5</v>
      </c>
      <c r="X46" s="82">
        <v>4.5</v>
      </c>
      <c r="Y46" s="82">
        <v>5.5</v>
      </c>
      <c r="Z46" s="82">
        <v>5.5</v>
      </c>
    </row>
    <row r="47" spans="1:26">
      <c r="A47">
        <v>378</v>
      </c>
      <c r="B47" s="79" t="s">
        <v>134</v>
      </c>
      <c r="C47" s="79" t="s">
        <v>1150</v>
      </c>
      <c r="D47" s="79" t="s">
        <v>1246</v>
      </c>
      <c r="E47">
        <v>1982</v>
      </c>
      <c r="F47" s="79" t="s">
        <v>21</v>
      </c>
      <c r="G47" s="79" t="s">
        <v>34</v>
      </c>
      <c r="H47" s="79" t="s">
        <v>27</v>
      </c>
      <c r="I47">
        <v>26182001327</v>
      </c>
      <c r="J47" t="s">
        <v>315</v>
      </c>
      <c r="K47">
        <v>19</v>
      </c>
    </row>
    <row r="48" spans="1:26">
      <c r="A48">
        <v>379</v>
      </c>
      <c r="B48" s="79" t="s">
        <v>135</v>
      </c>
      <c r="C48" s="79" t="s">
        <v>1151</v>
      </c>
      <c r="D48" s="79" t="s">
        <v>1250</v>
      </c>
      <c r="E48">
        <v>1979</v>
      </c>
      <c r="F48" s="79" t="s">
        <v>21</v>
      </c>
      <c r="G48" s="79" t="s">
        <v>34</v>
      </c>
      <c r="H48" s="79" t="s">
        <v>27</v>
      </c>
      <c r="I48">
        <v>1079050226</v>
      </c>
      <c r="J48" t="s">
        <v>315</v>
      </c>
      <c r="K48">
        <v>19</v>
      </c>
      <c r="V48" s="82">
        <v>5</v>
      </c>
      <c r="W48" s="82">
        <v>4.5</v>
      </c>
      <c r="X48" s="82">
        <v>5</v>
      </c>
      <c r="Y48" s="82">
        <v>5.5</v>
      </c>
      <c r="Z48" s="82">
        <v>5</v>
      </c>
    </row>
    <row r="49" spans="1:26">
      <c r="A49">
        <v>380</v>
      </c>
      <c r="B49" s="79" t="s">
        <v>37</v>
      </c>
      <c r="C49" s="79" t="s">
        <v>1152</v>
      </c>
      <c r="D49" s="79" t="s">
        <v>1251</v>
      </c>
      <c r="E49">
        <v>1981</v>
      </c>
      <c r="F49" s="79" t="s">
        <v>21</v>
      </c>
      <c r="G49" s="79" t="s">
        <v>34</v>
      </c>
      <c r="H49" s="79" t="s">
        <v>27</v>
      </c>
      <c r="I49">
        <v>1181043471</v>
      </c>
      <c r="J49" t="s">
        <v>315</v>
      </c>
      <c r="K49">
        <v>19</v>
      </c>
    </row>
    <row r="50" spans="1:26">
      <c r="A50">
        <v>381</v>
      </c>
      <c r="B50" s="79" t="s">
        <v>136</v>
      </c>
      <c r="C50" s="79" t="s">
        <v>1109</v>
      </c>
      <c r="D50" s="79" t="s">
        <v>1252</v>
      </c>
      <c r="E50">
        <v>1979</v>
      </c>
      <c r="F50" s="79" t="s">
        <v>21</v>
      </c>
      <c r="G50" s="79" t="s">
        <v>26</v>
      </c>
      <c r="H50" s="79" t="s">
        <v>61</v>
      </c>
      <c r="I50" t="s">
        <v>1212</v>
      </c>
      <c r="J50" t="s">
        <v>430</v>
      </c>
      <c r="K50">
        <v>20</v>
      </c>
      <c r="V50" s="82">
        <v>5</v>
      </c>
      <c r="W50" s="82">
        <v>3.5</v>
      </c>
      <c r="X50" s="82">
        <v>4.5</v>
      </c>
      <c r="Y50" s="82">
        <v>6</v>
      </c>
      <c r="Z50" s="82">
        <v>5</v>
      </c>
    </row>
    <row r="51" spans="1:26">
      <c r="A51">
        <v>382</v>
      </c>
      <c r="B51" s="79" t="s">
        <v>137</v>
      </c>
      <c r="C51" s="79" t="s">
        <v>1154</v>
      </c>
      <c r="D51" s="79" t="s">
        <v>1230</v>
      </c>
      <c r="E51">
        <v>1983</v>
      </c>
      <c r="F51" s="79" t="s">
        <v>19</v>
      </c>
      <c r="G51" s="79" t="s">
        <v>138</v>
      </c>
      <c r="H51" s="79" t="s">
        <v>39</v>
      </c>
      <c r="I51" t="s">
        <v>460</v>
      </c>
      <c r="J51" t="s">
        <v>315</v>
      </c>
      <c r="K51">
        <v>20</v>
      </c>
    </row>
    <row r="52" spans="1:26">
      <c r="A52">
        <v>385</v>
      </c>
      <c r="B52" s="79" t="s">
        <v>142</v>
      </c>
      <c r="C52" s="79" t="s">
        <v>1111</v>
      </c>
      <c r="D52" s="79" t="s">
        <v>1255</v>
      </c>
      <c r="E52">
        <v>1977</v>
      </c>
      <c r="F52" s="79" t="s">
        <v>21</v>
      </c>
      <c r="G52" s="79" t="s">
        <v>143</v>
      </c>
      <c r="H52" s="79" t="s">
        <v>121</v>
      </c>
      <c r="I52" t="s">
        <v>637</v>
      </c>
      <c r="J52" t="s">
        <v>315</v>
      </c>
      <c r="K52">
        <v>20</v>
      </c>
      <c r="V52" s="82">
        <v>4.5</v>
      </c>
      <c r="W52" s="82">
        <v>3.5</v>
      </c>
      <c r="X52" s="82">
        <v>4</v>
      </c>
      <c r="Y52" s="82">
        <v>5.5</v>
      </c>
      <c r="Z52" s="82">
        <v>4.5</v>
      </c>
    </row>
    <row r="53" spans="1:26">
      <c r="A53">
        <v>386</v>
      </c>
      <c r="B53" s="79" t="s">
        <v>144</v>
      </c>
      <c r="C53" s="79" t="s">
        <v>1065</v>
      </c>
      <c r="D53" s="79" t="s">
        <v>1256</v>
      </c>
      <c r="E53">
        <v>1996</v>
      </c>
      <c r="F53" s="79" t="s">
        <v>19</v>
      </c>
      <c r="G53" s="79" t="s">
        <v>145</v>
      </c>
      <c r="H53" s="79" t="s">
        <v>146</v>
      </c>
      <c r="I53" t="s">
        <v>614</v>
      </c>
      <c r="J53" t="s">
        <v>315</v>
      </c>
      <c r="K53">
        <v>20</v>
      </c>
    </row>
    <row r="54" spans="1:26">
      <c r="A54">
        <v>387</v>
      </c>
      <c r="B54" s="79" t="s">
        <v>147</v>
      </c>
      <c r="C54" s="79" t="s">
        <v>1087</v>
      </c>
      <c r="D54" s="79" t="s">
        <v>1257</v>
      </c>
      <c r="E54">
        <v>1979</v>
      </c>
      <c r="F54" s="79" t="s">
        <v>30</v>
      </c>
      <c r="G54" s="79" t="s">
        <v>148</v>
      </c>
      <c r="H54" s="79" t="s">
        <v>149</v>
      </c>
      <c r="I54" t="s">
        <v>619</v>
      </c>
      <c r="J54" t="s">
        <v>327</v>
      </c>
      <c r="K54">
        <v>20</v>
      </c>
    </row>
    <row r="55" spans="1:26">
      <c r="A55">
        <v>394</v>
      </c>
      <c r="B55" s="79" t="s">
        <v>161</v>
      </c>
      <c r="C55" s="79" t="s">
        <v>1106</v>
      </c>
      <c r="D55" s="79" t="s">
        <v>1262</v>
      </c>
      <c r="E55">
        <v>1975</v>
      </c>
      <c r="F55" s="79" t="s">
        <v>21</v>
      </c>
      <c r="G55" s="79" t="s">
        <v>75</v>
      </c>
      <c r="H55" s="79" t="s">
        <v>76</v>
      </c>
      <c r="I55" t="s">
        <v>1034</v>
      </c>
      <c r="J55" t="s">
        <v>315</v>
      </c>
      <c r="K55">
        <v>20</v>
      </c>
      <c r="V55" s="82">
        <v>4.5</v>
      </c>
      <c r="W55" s="82">
        <v>4</v>
      </c>
      <c r="X55" s="82">
        <v>4.5</v>
      </c>
      <c r="Y55" s="82">
        <v>5.5</v>
      </c>
      <c r="Z55" s="82">
        <v>4</v>
      </c>
    </row>
    <row r="56" spans="1:26">
      <c r="A56">
        <v>389</v>
      </c>
      <c r="B56" s="79" t="s">
        <v>152</v>
      </c>
      <c r="C56" s="79" t="s">
        <v>1110</v>
      </c>
      <c r="D56" s="79" t="s">
        <v>1244</v>
      </c>
      <c r="E56">
        <v>1976</v>
      </c>
      <c r="F56" s="79" t="s">
        <v>30</v>
      </c>
      <c r="G56" s="79" t="s">
        <v>153</v>
      </c>
      <c r="H56" s="79" t="s">
        <v>76</v>
      </c>
      <c r="I56" t="s">
        <v>366</v>
      </c>
      <c r="J56" t="s">
        <v>327</v>
      </c>
      <c r="K56">
        <v>20</v>
      </c>
      <c r="V56" s="82">
        <v>4.5</v>
      </c>
      <c r="W56" s="82">
        <v>4</v>
      </c>
      <c r="X56" s="82">
        <v>3.5</v>
      </c>
      <c r="Y56" s="82">
        <v>6</v>
      </c>
      <c r="Z56" s="82">
        <v>5</v>
      </c>
    </row>
    <row r="57" spans="1:26">
      <c r="A57">
        <v>390</v>
      </c>
      <c r="B57" s="79" t="s">
        <v>154</v>
      </c>
      <c r="C57" s="79" t="s">
        <v>1156</v>
      </c>
      <c r="D57" s="79" t="s">
        <v>1259</v>
      </c>
      <c r="E57">
        <v>1975</v>
      </c>
      <c r="F57" s="79" t="s">
        <v>30</v>
      </c>
      <c r="G57" s="79" t="s">
        <v>148</v>
      </c>
      <c r="H57" s="79" t="s">
        <v>149</v>
      </c>
      <c r="I57" t="s">
        <v>724</v>
      </c>
      <c r="J57" t="s">
        <v>315</v>
      </c>
      <c r="K57">
        <v>20</v>
      </c>
    </row>
    <row r="58" spans="1:26">
      <c r="A58">
        <v>739</v>
      </c>
      <c r="B58" s="79" t="s">
        <v>163</v>
      </c>
      <c r="C58" s="79" t="s">
        <v>1157</v>
      </c>
      <c r="D58" s="79" t="s">
        <v>1263</v>
      </c>
      <c r="E58">
        <v>1987</v>
      </c>
      <c r="F58" s="79" t="s">
        <v>30</v>
      </c>
      <c r="G58" s="79" t="s">
        <v>31</v>
      </c>
      <c r="H58" s="79" t="s">
        <v>32</v>
      </c>
      <c r="I58">
        <v>1187041867</v>
      </c>
      <c r="J58" t="s">
        <v>327</v>
      </c>
      <c r="K58">
        <v>20</v>
      </c>
      <c r="V58" s="82">
        <v>5.5</v>
      </c>
      <c r="W58" s="82">
        <v>4.5</v>
      </c>
      <c r="X58" s="82">
        <v>6</v>
      </c>
      <c r="Y58" s="82">
        <v>6</v>
      </c>
      <c r="Z58" s="82">
        <v>5</v>
      </c>
    </row>
    <row r="59" spans="1:26">
      <c r="A59">
        <v>395</v>
      </c>
      <c r="B59" s="79" t="s">
        <v>162</v>
      </c>
      <c r="C59" s="79" t="s">
        <v>1108</v>
      </c>
      <c r="D59" s="79" t="s">
        <v>1246</v>
      </c>
      <c r="E59">
        <v>1975</v>
      </c>
      <c r="F59" s="79" t="s">
        <v>21</v>
      </c>
      <c r="G59" s="79" t="s">
        <v>78</v>
      </c>
      <c r="H59" s="79" t="s">
        <v>76</v>
      </c>
      <c r="I59" t="s">
        <v>1041</v>
      </c>
      <c r="J59" t="s">
        <v>327</v>
      </c>
      <c r="K59">
        <v>20</v>
      </c>
      <c r="V59" s="82" t="s">
        <v>1335</v>
      </c>
      <c r="Z59" s="82" t="s">
        <v>1335</v>
      </c>
    </row>
    <row r="60" spans="1:26">
      <c r="A60">
        <v>16</v>
      </c>
      <c r="B60" s="79" t="s">
        <v>164</v>
      </c>
      <c r="C60" s="79" t="s">
        <v>1057</v>
      </c>
      <c r="D60" s="79" t="s">
        <v>1263</v>
      </c>
      <c r="E60">
        <v>1979</v>
      </c>
      <c r="F60" s="79" t="s">
        <v>21</v>
      </c>
      <c r="G60" s="79" t="s">
        <v>165</v>
      </c>
      <c r="H60" s="79" t="s">
        <v>166</v>
      </c>
      <c r="I60">
        <v>1179000066</v>
      </c>
      <c r="J60" t="s">
        <v>394</v>
      </c>
      <c r="K60">
        <v>20</v>
      </c>
    </row>
    <row r="61" spans="1:26">
      <c r="A61">
        <v>400</v>
      </c>
      <c r="B61" s="79" t="s">
        <v>170</v>
      </c>
      <c r="C61" s="79" t="s">
        <v>1369</v>
      </c>
      <c r="D61" s="79" t="s">
        <v>1223</v>
      </c>
      <c r="E61">
        <v>1978</v>
      </c>
      <c r="F61" s="79" t="s">
        <v>21</v>
      </c>
      <c r="G61" s="79" t="s">
        <v>171</v>
      </c>
      <c r="H61" s="79" t="s">
        <v>81</v>
      </c>
      <c r="I61">
        <v>1178001577</v>
      </c>
      <c r="J61" t="s">
        <v>315</v>
      </c>
      <c r="K61">
        <v>20</v>
      </c>
    </row>
    <row r="62" spans="1:26">
      <c r="A62">
        <v>401</v>
      </c>
      <c r="B62" s="79" t="s">
        <v>172</v>
      </c>
      <c r="C62" s="79" t="s">
        <v>1117</v>
      </c>
      <c r="D62" s="79" t="s">
        <v>1238</v>
      </c>
      <c r="E62">
        <v>1975</v>
      </c>
      <c r="F62" s="79" t="s">
        <v>21</v>
      </c>
      <c r="G62" s="79" t="s">
        <v>86</v>
      </c>
      <c r="H62" s="79" t="s">
        <v>81</v>
      </c>
      <c r="I62" t="s">
        <v>386</v>
      </c>
      <c r="J62" t="s">
        <v>315</v>
      </c>
      <c r="K62">
        <v>21</v>
      </c>
      <c r="V62" s="82">
        <v>5</v>
      </c>
      <c r="W62" s="82">
        <v>4.5</v>
      </c>
      <c r="X62" s="82">
        <v>5</v>
      </c>
      <c r="Y62" s="82">
        <v>5.5</v>
      </c>
      <c r="Z62" s="82">
        <v>4.5</v>
      </c>
    </row>
    <row r="63" spans="1:26">
      <c r="A63">
        <v>402</v>
      </c>
      <c r="B63" s="79" t="s">
        <v>173</v>
      </c>
      <c r="C63" s="79" t="s">
        <v>1159</v>
      </c>
      <c r="D63" s="79" t="s">
        <v>1264</v>
      </c>
      <c r="E63">
        <v>1976</v>
      </c>
      <c r="F63" s="79" t="s">
        <v>21</v>
      </c>
      <c r="G63" s="79" t="s">
        <v>86</v>
      </c>
      <c r="H63" s="79" t="s">
        <v>174</v>
      </c>
      <c r="I63" t="s">
        <v>416</v>
      </c>
      <c r="J63" t="s">
        <v>315</v>
      </c>
      <c r="K63">
        <v>21</v>
      </c>
    </row>
    <row r="64" spans="1:26">
      <c r="A64">
        <v>403</v>
      </c>
      <c r="B64" s="79" t="s">
        <v>175</v>
      </c>
      <c r="C64" s="79" t="s">
        <v>1370</v>
      </c>
      <c r="D64" s="79" t="s">
        <v>1265</v>
      </c>
      <c r="E64">
        <v>1994</v>
      </c>
      <c r="F64" s="79" t="s">
        <v>21</v>
      </c>
      <c r="G64" s="79" t="s">
        <v>48</v>
      </c>
      <c r="H64" s="79" t="s">
        <v>100</v>
      </c>
      <c r="I64" t="s">
        <v>609</v>
      </c>
      <c r="J64" t="s">
        <v>315</v>
      </c>
      <c r="K64">
        <v>21</v>
      </c>
    </row>
    <row r="65" spans="1:26">
      <c r="A65">
        <v>404</v>
      </c>
      <c r="B65" s="79" t="s">
        <v>176</v>
      </c>
      <c r="C65" s="79" t="s">
        <v>1160</v>
      </c>
      <c r="D65" s="79" t="s">
        <v>1244</v>
      </c>
      <c r="E65">
        <v>1979</v>
      </c>
      <c r="F65" s="79" t="s">
        <v>21</v>
      </c>
      <c r="G65" s="79" t="s">
        <v>177</v>
      </c>
      <c r="H65" s="79" t="s">
        <v>20</v>
      </c>
      <c r="I65" t="s">
        <v>528</v>
      </c>
      <c r="J65" t="s">
        <v>394</v>
      </c>
      <c r="K65">
        <v>21</v>
      </c>
    </row>
    <row r="66" spans="1:26">
      <c r="A66">
        <v>405</v>
      </c>
      <c r="B66" s="79" t="s">
        <v>178</v>
      </c>
      <c r="C66" s="79" t="s">
        <v>1051</v>
      </c>
      <c r="D66" s="79" t="s">
        <v>1266</v>
      </c>
      <c r="E66">
        <v>1979</v>
      </c>
      <c r="F66" s="79" t="s">
        <v>21</v>
      </c>
      <c r="G66" s="79" t="s">
        <v>179</v>
      </c>
      <c r="H66" s="79" t="s">
        <v>29</v>
      </c>
      <c r="I66" t="s">
        <v>753</v>
      </c>
      <c r="J66" t="s">
        <v>315</v>
      </c>
      <c r="K66">
        <v>21</v>
      </c>
    </row>
    <row r="67" spans="1:26">
      <c r="A67">
        <v>406</v>
      </c>
      <c r="B67" s="79" t="s">
        <v>180</v>
      </c>
      <c r="C67" s="79" t="s">
        <v>1047</v>
      </c>
      <c r="D67" s="79" t="s">
        <v>1247</v>
      </c>
      <c r="E67">
        <v>1979</v>
      </c>
      <c r="F67" s="79" t="s">
        <v>21</v>
      </c>
      <c r="G67" s="79" t="s">
        <v>42</v>
      </c>
      <c r="H67" s="79" t="s">
        <v>97</v>
      </c>
      <c r="I67" t="s">
        <v>784</v>
      </c>
      <c r="J67" t="s">
        <v>315</v>
      </c>
      <c r="K67">
        <v>21</v>
      </c>
    </row>
    <row r="68" spans="1:26">
      <c r="A68">
        <v>407</v>
      </c>
      <c r="B68" s="79" t="s">
        <v>181</v>
      </c>
      <c r="C68" s="79" t="s">
        <v>1064</v>
      </c>
      <c r="D68" s="79" t="s">
        <v>1253</v>
      </c>
      <c r="E68">
        <v>1978</v>
      </c>
      <c r="F68" s="79" t="s">
        <v>21</v>
      </c>
      <c r="G68" s="79" t="s">
        <v>43</v>
      </c>
      <c r="H68" s="79" t="s">
        <v>20</v>
      </c>
      <c r="I68" t="s">
        <v>796</v>
      </c>
      <c r="J68" t="s">
        <v>654</v>
      </c>
      <c r="K68">
        <v>21</v>
      </c>
    </row>
    <row r="69" spans="1:26">
      <c r="A69">
        <v>408</v>
      </c>
      <c r="B69" s="79" t="s">
        <v>182</v>
      </c>
      <c r="C69" s="79" t="s">
        <v>1161</v>
      </c>
      <c r="D69" s="79" t="s">
        <v>1267</v>
      </c>
      <c r="E69">
        <v>1974</v>
      </c>
      <c r="F69" s="79" t="s">
        <v>21</v>
      </c>
      <c r="G69" s="79" t="s">
        <v>25</v>
      </c>
      <c r="H69" s="79" t="s">
        <v>59</v>
      </c>
      <c r="I69" t="s">
        <v>801</v>
      </c>
      <c r="J69" t="s">
        <v>327</v>
      </c>
      <c r="K69">
        <v>21</v>
      </c>
    </row>
    <row r="70" spans="1:26">
      <c r="A70">
        <v>409</v>
      </c>
      <c r="B70" s="79" t="s">
        <v>183</v>
      </c>
      <c r="C70" s="79" t="s">
        <v>1116</v>
      </c>
      <c r="D70" s="79" t="s">
        <v>1268</v>
      </c>
      <c r="E70">
        <v>1977</v>
      </c>
      <c r="F70" s="79" t="s">
        <v>21</v>
      </c>
      <c r="G70" s="79" t="s">
        <v>184</v>
      </c>
      <c r="H70" s="79" t="s">
        <v>20</v>
      </c>
      <c r="I70" t="s">
        <v>852</v>
      </c>
      <c r="J70" t="s">
        <v>654</v>
      </c>
      <c r="K70">
        <v>21</v>
      </c>
      <c r="V70" s="82">
        <v>5</v>
      </c>
      <c r="W70" s="82">
        <v>4</v>
      </c>
      <c r="X70" s="82">
        <v>4</v>
      </c>
      <c r="Y70" s="82">
        <v>5.5</v>
      </c>
      <c r="Z70" s="82">
        <v>5.5</v>
      </c>
    </row>
    <row r="71" spans="1:26">
      <c r="A71">
        <v>410</v>
      </c>
      <c r="B71" s="79" t="s">
        <v>185</v>
      </c>
      <c r="C71" s="79" t="s">
        <v>1162</v>
      </c>
      <c r="D71" s="79" t="s">
        <v>1238</v>
      </c>
      <c r="E71">
        <v>1976</v>
      </c>
      <c r="F71" s="79" t="s">
        <v>21</v>
      </c>
      <c r="G71" s="79" t="s">
        <v>186</v>
      </c>
      <c r="H71" s="79" t="s">
        <v>187</v>
      </c>
      <c r="I71" t="s">
        <v>878</v>
      </c>
      <c r="J71" t="s">
        <v>315</v>
      </c>
      <c r="K71">
        <v>21</v>
      </c>
    </row>
    <row r="72" spans="1:26">
      <c r="A72">
        <v>411</v>
      </c>
      <c r="B72" s="79" t="s">
        <v>188</v>
      </c>
      <c r="C72" s="79" t="s">
        <v>1163</v>
      </c>
      <c r="D72" s="79" t="s">
        <v>1269</v>
      </c>
      <c r="E72">
        <v>1975</v>
      </c>
      <c r="F72" s="79" t="s">
        <v>21</v>
      </c>
      <c r="G72" s="79" t="s">
        <v>23</v>
      </c>
      <c r="H72" s="79" t="s">
        <v>20</v>
      </c>
      <c r="I72" t="s">
        <v>889</v>
      </c>
      <c r="J72" t="s">
        <v>315</v>
      </c>
      <c r="K72">
        <v>21</v>
      </c>
    </row>
    <row r="73" spans="1:26">
      <c r="A73">
        <v>412</v>
      </c>
      <c r="B73" s="79" t="s">
        <v>189</v>
      </c>
      <c r="C73" s="79" t="s">
        <v>1115</v>
      </c>
      <c r="D73" s="79" t="s">
        <v>1218</v>
      </c>
      <c r="E73">
        <v>1974</v>
      </c>
      <c r="F73" s="79" t="s">
        <v>21</v>
      </c>
      <c r="G73" s="79" t="s">
        <v>41</v>
      </c>
      <c r="H73" s="79" t="s">
        <v>20</v>
      </c>
      <c r="I73" t="s">
        <v>931</v>
      </c>
      <c r="J73" t="s">
        <v>654</v>
      </c>
      <c r="K73">
        <v>21</v>
      </c>
      <c r="V73" s="82">
        <v>4.5</v>
      </c>
      <c r="W73" s="82">
        <v>2</v>
      </c>
      <c r="X73" s="82">
        <v>5.5</v>
      </c>
      <c r="Y73" s="82">
        <v>5.5</v>
      </c>
      <c r="Z73" s="82">
        <v>5.5</v>
      </c>
    </row>
    <row r="74" spans="1:26">
      <c r="A74">
        <v>413</v>
      </c>
      <c r="B74" s="79" t="s">
        <v>190</v>
      </c>
      <c r="C74" s="79" t="s">
        <v>1085</v>
      </c>
      <c r="D74" s="79" t="s">
        <v>1270</v>
      </c>
      <c r="E74">
        <v>1989</v>
      </c>
      <c r="F74" s="79" t="s">
        <v>30</v>
      </c>
      <c r="G74" s="79" t="s">
        <v>191</v>
      </c>
      <c r="H74" s="79" t="s">
        <v>20</v>
      </c>
      <c r="I74" t="s">
        <v>1030</v>
      </c>
      <c r="J74" t="s">
        <v>327</v>
      </c>
      <c r="K74">
        <v>21</v>
      </c>
    </row>
    <row r="75" spans="1:26">
      <c r="A75">
        <v>414</v>
      </c>
      <c r="B75" s="79" t="s">
        <v>192</v>
      </c>
      <c r="C75" s="79" t="s">
        <v>1164</v>
      </c>
      <c r="D75" s="79" t="s">
        <v>1263</v>
      </c>
      <c r="E75">
        <v>1978</v>
      </c>
      <c r="F75" s="79" t="s">
        <v>30</v>
      </c>
      <c r="G75" s="79" t="s">
        <v>191</v>
      </c>
      <c r="H75" s="79" t="s">
        <v>20</v>
      </c>
      <c r="I75">
        <v>1178002480</v>
      </c>
      <c r="J75" t="s">
        <v>327</v>
      </c>
      <c r="K75">
        <v>21</v>
      </c>
    </row>
    <row r="76" spans="1:26">
      <c r="A76">
        <v>415</v>
      </c>
      <c r="B76" s="79" t="s">
        <v>193</v>
      </c>
      <c r="C76" s="79" t="s">
        <v>1053</v>
      </c>
      <c r="D76" s="79" t="s">
        <v>1271</v>
      </c>
      <c r="E76">
        <v>1977</v>
      </c>
      <c r="F76" s="79" t="s">
        <v>30</v>
      </c>
      <c r="G76" s="79" t="s">
        <v>107</v>
      </c>
      <c r="H76" s="79" t="s">
        <v>100</v>
      </c>
      <c r="I76">
        <v>1184039143</v>
      </c>
      <c r="J76" t="s">
        <v>654</v>
      </c>
      <c r="K76">
        <v>21</v>
      </c>
    </row>
    <row r="77" spans="1:26">
      <c r="A77">
        <v>416</v>
      </c>
      <c r="B77" s="79" t="s">
        <v>194</v>
      </c>
      <c r="C77" s="79" t="s">
        <v>1118</v>
      </c>
      <c r="D77" s="79" t="s">
        <v>1238</v>
      </c>
      <c r="E77">
        <v>1976</v>
      </c>
      <c r="F77" s="79" t="s">
        <v>30</v>
      </c>
      <c r="G77" s="79" t="s">
        <v>107</v>
      </c>
      <c r="H77" s="79" t="s">
        <v>100</v>
      </c>
      <c r="I77">
        <v>27176011754</v>
      </c>
      <c r="J77" t="s">
        <v>327</v>
      </c>
      <c r="K77">
        <v>21</v>
      </c>
      <c r="V77" s="82">
        <v>5</v>
      </c>
      <c r="W77" s="82">
        <v>4</v>
      </c>
      <c r="X77" s="82">
        <v>5.5</v>
      </c>
      <c r="Y77" s="82">
        <v>6</v>
      </c>
      <c r="Z77" s="82">
        <v>5</v>
      </c>
    </row>
    <row r="78" spans="1:26">
      <c r="A78">
        <v>417</v>
      </c>
      <c r="B78" s="79" t="s">
        <v>195</v>
      </c>
      <c r="C78" s="79" t="s">
        <v>1072</v>
      </c>
      <c r="D78" s="79" t="s">
        <v>1272</v>
      </c>
      <c r="E78">
        <v>1996</v>
      </c>
      <c r="F78" s="79" t="s">
        <v>19</v>
      </c>
      <c r="G78" s="79" t="s">
        <v>196</v>
      </c>
      <c r="H78" s="79" t="s">
        <v>91</v>
      </c>
      <c r="I78">
        <v>1196039783</v>
      </c>
      <c r="J78" t="s">
        <v>654</v>
      </c>
      <c r="K78">
        <v>21</v>
      </c>
    </row>
    <row r="79" spans="1:26">
      <c r="A79">
        <v>418</v>
      </c>
      <c r="B79" s="79" t="s">
        <v>197</v>
      </c>
      <c r="C79" s="79" t="s">
        <v>1165</v>
      </c>
      <c r="D79" s="79" t="s">
        <v>1233</v>
      </c>
      <c r="E79">
        <v>1993</v>
      </c>
      <c r="F79" s="79" t="s">
        <v>19</v>
      </c>
      <c r="G79" s="79" t="s">
        <v>198</v>
      </c>
      <c r="H79" s="79" t="s">
        <v>100</v>
      </c>
      <c r="I79">
        <v>1193046294</v>
      </c>
      <c r="J79" t="s">
        <v>654</v>
      </c>
      <c r="K79">
        <v>21</v>
      </c>
    </row>
    <row r="80" spans="1:26">
      <c r="A80">
        <v>419</v>
      </c>
      <c r="B80" s="79" t="s">
        <v>199</v>
      </c>
      <c r="C80" s="79" t="s">
        <v>1060</v>
      </c>
      <c r="D80" s="79" t="s">
        <v>1244</v>
      </c>
      <c r="E80">
        <v>1980</v>
      </c>
      <c r="F80" s="79" t="s">
        <v>19</v>
      </c>
      <c r="G80" s="79" t="s">
        <v>200</v>
      </c>
      <c r="H80" s="79" t="s">
        <v>91</v>
      </c>
      <c r="I80">
        <v>1180044201</v>
      </c>
      <c r="J80" t="s">
        <v>654</v>
      </c>
      <c r="K80">
        <v>21</v>
      </c>
    </row>
    <row r="81" spans="1:26">
      <c r="A81">
        <v>420</v>
      </c>
      <c r="B81" s="79" t="s">
        <v>201</v>
      </c>
      <c r="C81" s="79" t="s">
        <v>1166</v>
      </c>
      <c r="D81" s="79" t="s">
        <v>1252</v>
      </c>
      <c r="E81">
        <v>1979</v>
      </c>
      <c r="F81" s="79" t="s">
        <v>19</v>
      </c>
      <c r="G81" s="79" t="s">
        <v>196</v>
      </c>
      <c r="H81" s="79" t="s">
        <v>91</v>
      </c>
      <c r="I81">
        <v>1179003519</v>
      </c>
      <c r="J81" t="s">
        <v>377</v>
      </c>
      <c r="K81">
        <v>21</v>
      </c>
    </row>
    <row r="82" spans="1:26">
      <c r="A82">
        <v>421</v>
      </c>
      <c r="B82" s="79" t="s">
        <v>202</v>
      </c>
      <c r="C82" s="79" t="s">
        <v>1122</v>
      </c>
      <c r="D82" s="79" t="s">
        <v>1222</v>
      </c>
      <c r="E82">
        <v>1978</v>
      </c>
      <c r="F82" s="79" t="s">
        <v>19</v>
      </c>
      <c r="G82" s="79" t="s">
        <v>203</v>
      </c>
      <c r="H82" s="79" t="s">
        <v>59</v>
      </c>
      <c r="I82" t="s">
        <v>528</v>
      </c>
      <c r="J82" t="s">
        <v>394</v>
      </c>
      <c r="K82">
        <v>22</v>
      </c>
      <c r="V82" s="82">
        <v>5.5</v>
      </c>
      <c r="W82" s="82">
        <v>5.5</v>
      </c>
      <c r="X82" s="82">
        <v>6</v>
      </c>
      <c r="Y82" s="82">
        <v>5.5</v>
      </c>
      <c r="Z82" s="82">
        <v>5.5</v>
      </c>
    </row>
    <row r="83" spans="1:26">
      <c r="A83">
        <v>422</v>
      </c>
      <c r="B83" s="79" t="s">
        <v>204</v>
      </c>
      <c r="C83" s="79" t="s">
        <v>1371</v>
      </c>
      <c r="D83" s="79" t="s">
        <v>1273</v>
      </c>
      <c r="E83">
        <v>1977</v>
      </c>
      <c r="F83" s="79" t="s">
        <v>19</v>
      </c>
      <c r="G83" s="79" t="s">
        <v>205</v>
      </c>
      <c r="H83" s="79" t="s">
        <v>20</v>
      </c>
      <c r="I83" t="s">
        <v>498</v>
      </c>
      <c r="J83" t="s">
        <v>327</v>
      </c>
      <c r="K83">
        <v>22</v>
      </c>
    </row>
    <row r="84" spans="1:26">
      <c r="A84">
        <v>423</v>
      </c>
      <c r="B84" s="79" t="s">
        <v>206</v>
      </c>
      <c r="C84" s="79" t="s">
        <v>1061</v>
      </c>
      <c r="D84" s="79" t="s">
        <v>1274</v>
      </c>
      <c r="E84">
        <v>1977</v>
      </c>
      <c r="F84" s="79" t="s">
        <v>19</v>
      </c>
      <c r="G84" s="79" t="s">
        <v>207</v>
      </c>
      <c r="H84" s="79" t="s">
        <v>187</v>
      </c>
      <c r="I84" t="s">
        <v>523</v>
      </c>
      <c r="J84" t="s">
        <v>377</v>
      </c>
      <c r="K84">
        <v>22</v>
      </c>
    </row>
    <row r="85" spans="1:26">
      <c r="A85">
        <v>424</v>
      </c>
      <c r="B85" s="79" t="s">
        <v>208</v>
      </c>
      <c r="C85" s="79" t="s">
        <v>1045</v>
      </c>
      <c r="D85" s="79" t="s">
        <v>1275</v>
      </c>
      <c r="E85">
        <v>1977</v>
      </c>
      <c r="F85" s="79" t="s">
        <v>19</v>
      </c>
      <c r="G85" s="79" t="s">
        <v>209</v>
      </c>
      <c r="H85" s="79" t="s">
        <v>210</v>
      </c>
      <c r="I85" t="s">
        <v>727</v>
      </c>
      <c r="J85" t="s">
        <v>654</v>
      </c>
      <c r="K85">
        <v>22</v>
      </c>
    </row>
    <row r="86" spans="1:26">
      <c r="A86">
        <v>425</v>
      </c>
      <c r="B86" s="79" t="s">
        <v>211</v>
      </c>
      <c r="C86" s="79" t="s">
        <v>1168</v>
      </c>
      <c r="D86" s="79" t="s">
        <v>1248</v>
      </c>
      <c r="E86">
        <v>1976</v>
      </c>
      <c r="F86" s="79" t="s">
        <v>19</v>
      </c>
      <c r="G86" s="79" t="s">
        <v>212</v>
      </c>
      <c r="H86" s="79" t="s">
        <v>20</v>
      </c>
      <c r="I86" t="s">
        <v>728</v>
      </c>
      <c r="J86" t="s">
        <v>394</v>
      </c>
      <c r="K86">
        <v>22</v>
      </c>
    </row>
    <row r="87" spans="1:26">
      <c r="A87">
        <v>426</v>
      </c>
      <c r="B87" s="79" t="s">
        <v>213</v>
      </c>
      <c r="C87" s="79" t="s">
        <v>1169</v>
      </c>
      <c r="D87" s="79" t="s">
        <v>1260</v>
      </c>
      <c r="E87">
        <v>1996</v>
      </c>
      <c r="F87" s="79" t="s">
        <v>21</v>
      </c>
      <c r="G87" s="79" t="s">
        <v>23</v>
      </c>
      <c r="H87" s="79" t="s">
        <v>20</v>
      </c>
      <c r="I87" t="s">
        <v>738</v>
      </c>
      <c r="J87" t="s">
        <v>734</v>
      </c>
      <c r="K87">
        <v>22</v>
      </c>
    </row>
    <row r="88" spans="1:26">
      <c r="A88">
        <v>427</v>
      </c>
      <c r="B88" s="79" t="s">
        <v>214</v>
      </c>
      <c r="C88" s="79" t="s">
        <v>1123</v>
      </c>
      <c r="D88" s="79" t="s">
        <v>1243</v>
      </c>
      <c r="E88">
        <v>1996</v>
      </c>
      <c r="F88" s="79" t="s">
        <v>21</v>
      </c>
      <c r="G88" s="79" t="s">
        <v>215</v>
      </c>
      <c r="H88" s="79" t="s">
        <v>20</v>
      </c>
      <c r="I88" t="s">
        <v>858</v>
      </c>
      <c r="J88" t="s">
        <v>377</v>
      </c>
      <c r="K88">
        <v>22</v>
      </c>
      <c r="V88" s="82">
        <v>5.5</v>
      </c>
      <c r="W88" s="82">
        <v>4</v>
      </c>
      <c r="X88" s="82">
        <v>5.5</v>
      </c>
      <c r="Y88" s="82">
        <v>6</v>
      </c>
      <c r="Z88" s="82">
        <v>5.5</v>
      </c>
    </row>
    <row r="89" spans="1:26">
      <c r="A89">
        <v>428</v>
      </c>
      <c r="B89" s="79" t="s">
        <v>194</v>
      </c>
      <c r="C89" s="79" t="s">
        <v>1118</v>
      </c>
      <c r="D89" s="79" t="s">
        <v>1238</v>
      </c>
      <c r="E89">
        <v>1994</v>
      </c>
      <c r="F89" s="79" t="s">
        <v>21</v>
      </c>
      <c r="G89" s="79" t="s">
        <v>177</v>
      </c>
      <c r="H89" s="79" t="s">
        <v>20</v>
      </c>
      <c r="I89" t="s">
        <v>872</v>
      </c>
      <c r="J89" t="s">
        <v>654</v>
      </c>
      <c r="K89">
        <v>22</v>
      </c>
      <c r="V89" s="82">
        <v>5</v>
      </c>
      <c r="W89" s="82">
        <v>4</v>
      </c>
      <c r="X89" s="82">
        <v>5.5</v>
      </c>
      <c r="Y89" s="82">
        <v>6</v>
      </c>
      <c r="Z89" s="82">
        <v>5</v>
      </c>
    </row>
    <row r="90" spans="1:26">
      <c r="A90">
        <v>429</v>
      </c>
      <c r="B90" s="79" t="s">
        <v>40</v>
      </c>
      <c r="C90" s="79" t="s">
        <v>1120</v>
      </c>
      <c r="D90" s="79" t="s">
        <v>1233</v>
      </c>
      <c r="E90">
        <v>1976</v>
      </c>
      <c r="F90" s="79" t="s">
        <v>30</v>
      </c>
      <c r="G90" s="79" t="s">
        <v>46</v>
      </c>
      <c r="H90" s="79" t="s">
        <v>59</v>
      </c>
      <c r="I90" t="s">
        <v>883</v>
      </c>
      <c r="J90" t="s">
        <v>377</v>
      </c>
      <c r="K90">
        <v>22</v>
      </c>
      <c r="V90" s="82">
        <v>5.5</v>
      </c>
      <c r="W90" s="82">
        <v>5</v>
      </c>
      <c r="X90" s="82">
        <v>5</v>
      </c>
      <c r="Y90" s="82">
        <v>6</v>
      </c>
      <c r="Z90" s="82">
        <v>5</v>
      </c>
    </row>
    <row r="91" spans="1:26">
      <c r="A91">
        <v>430</v>
      </c>
      <c r="B91" s="79" t="s">
        <v>216</v>
      </c>
      <c r="C91" s="79" t="s">
        <v>1170</v>
      </c>
      <c r="D91" s="79" t="s">
        <v>1238</v>
      </c>
      <c r="E91">
        <v>1978</v>
      </c>
      <c r="F91" s="79" t="s">
        <v>30</v>
      </c>
      <c r="G91" s="79" t="s">
        <v>46</v>
      </c>
      <c r="H91" s="79" t="s">
        <v>59</v>
      </c>
      <c r="I91">
        <v>1184057507</v>
      </c>
      <c r="J91" t="s">
        <v>315</v>
      </c>
      <c r="K91">
        <v>22</v>
      </c>
      <c r="V91" s="82">
        <v>6</v>
      </c>
      <c r="W91" s="82">
        <v>5.5</v>
      </c>
      <c r="X91" s="82">
        <v>6.5</v>
      </c>
      <c r="Y91" s="82">
        <v>6</v>
      </c>
      <c r="Z91" s="82">
        <v>5.5</v>
      </c>
    </row>
    <row r="92" spans="1:26">
      <c r="A92">
        <v>431</v>
      </c>
      <c r="B92" s="79" t="s">
        <v>217</v>
      </c>
      <c r="C92" s="79" t="s">
        <v>1171</v>
      </c>
      <c r="D92" s="79" t="s">
        <v>1276</v>
      </c>
      <c r="E92">
        <v>1984</v>
      </c>
      <c r="F92" s="79" t="s">
        <v>30</v>
      </c>
      <c r="G92" s="79" t="s">
        <v>45</v>
      </c>
      <c r="H92" s="79" t="s">
        <v>187</v>
      </c>
      <c r="I92">
        <v>1184006475</v>
      </c>
      <c r="J92" t="s">
        <v>327</v>
      </c>
      <c r="K92">
        <v>22</v>
      </c>
    </row>
    <row r="93" spans="1:26">
      <c r="A93">
        <v>432</v>
      </c>
      <c r="B93" s="79" t="s">
        <v>218</v>
      </c>
      <c r="C93" s="79" t="s">
        <v>1063</v>
      </c>
      <c r="D93" s="79" t="s">
        <v>1247</v>
      </c>
      <c r="E93">
        <v>1982</v>
      </c>
      <c r="F93" s="79" t="s">
        <v>19</v>
      </c>
      <c r="G93" s="79" t="s">
        <v>219</v>
      </c>
      <c r="H93" s="79" t="s">
        <v>121</v>
      </c>
      <c r="I93">
        <v>1182042023</v>
      </c>
      <c r="J93" t="s">
        <v>377</v>
      </c>
      <c r="K93">
        <v>22</v>
      </c>
    </row>
    <row r="94" spans="1:26">
      <c r="A94">
        <v>433</v>
      </c>
      <c r="B94" s="79" t="s">
        <v>220</v>
      </c>
      <c r="C94" s="79" t="s">
        <v>1172</v>
      </c>
      <c r="D94" s="79" t="s">
        <v>1277</v>
      </c>
      <c r="E94">
        <v>1985</v>
      </c>
      <c r="F94" s="79" t="s">
        <v>19</v>
      </c>
      <c r="G94" s="79" t="s">
        <v>221</v>
      </c>
      <c r="H94" s="79" t="s">
        <v>39</v>
      </c>
      <c r="I94">
        <v>1185019297</v>
      </c>
      <c r="J94" t="s">
        <v>377</v>
      </c>
      <c r="K94">
        <v>22</v>
      </c>
    </row>
    <row r="95" spans="1:26">
      <c r="A95">
        <v>603</v>
      </c>
      <c r="B95" s="79" t="s">
        <v>222</v>
      </c>
      <c r="C95" s="79" t="s">
        <v>1173</v>
      </c>
      <c r="D95" s="79" t="s">
        <v>1276</v>
      </c>
      <c r="E95">
        <v>1977</v>
      </c>
      <c r="F95" s="79" t="s">
        <v>19</v>
      </c>
      <c r="G95" s="79" t="s">
        <v>223</v>
      </c>
      <c r="H95" s="79" t="s">
        <v>294</v>
      </c>
      <c r="I95">
        <v>1177010105</v>
      </c>
      <c r="J95" t="s">
        <v>377</v>
      </c>
      <c r="K95">
        <v>22</v>
      </c>
    </row>
    <row r="96" spans="1:26">
      <c r="A96">
        <v>481</v>
      </c>
      <c r="B96" s="79" t="s">
        <v>224</v>
      </c>
      <c r="C96" s="79" t="s">
        <v>1174</v>
      </c>
      <c r="D96" s="79" t="s">
        <v>1219</v>
      </c>
      <c r="E96">
        <v>1983</v>
      </c>
      <c r="F96" s="79" t="s">
        <v>30</v>
      </c>
      <c r="G96" s="79" t="s">
        <v>31</v>
      </c>
      <c r="H96" s="79" t="s">
        <v>225</v>
      </c>
      <c r="I96">
        <v>1083006421</v>
      </c>
      <c r="J96" t="s">
        <v>327</v>
      </c>
      <c r="K96">
        <v>22</v>
      </c>
      <c r="V96" s="82">
        <v>6</v>
      </c>
      <c r="W96" s="82">
        <v>5.5</v>
      </c>
      <c r="X96" s="82">
        <v>6</v>
      </c>
      <c r="Y96" s="82">
        <v>5.5</v>
      </c>
      <c r="Z96" s="82">
        <v>6</v>
      </c>
    </row>
    <row r="97" spans="1:26">
      <c r="A97">
        <v>436</v>
      </c>
      <c r="B97" s="79" t="s">
        <v>226</v>
      </c>
      <c r="C97" s="79" t="s">
        <v>1372</v>
      </c>
      <c r="D97" s="79" t="s">
        <v>1214</v>
      </c>
      <c r="E97">
        <v>1982</v>
      </c>
      <c r="F97" s="79" t="s">
        <v>19</v>
      </c>
      <c r="G97" s="79" t="s">
        <v>227</v>
      </c>
      <c r="H97" s="79" t="s">
        <v>71</v>
      </c>
      <c r="I97">
        <v>35182000293</v>
      </c>
      <c r="J97" t="s">
        <v>377</v>
      </c>
      <c r="K97">
        <v>22</v>
      </c>
    </row>
    <row r="98" spans="1:26">
      <c r="A98">
        <v>437</v>
      </c>
      <c r="B98" s="79" t="s">
        <v>228</v>
      </c>
      <c r="C98" s="79" t="s">
        <v>1176</v>
      </c>
      <c r="D98" s="79" t="s">
        <v>1216</v>
      </c>
      <c r="E98">
        <v>1987</v>
      </c>
      <c r="F98" s="79" t="s">
        <v>19</v>
      </c>
      <c r="G98" s="79" t="s">
        <v>229</v>
      </c>
      <c r="H98" s="79" t="s">
        <v>71</v>
      </c>
      <c r="I98">
        <v>1187022144</v>
      </c>
      <c r="J98" t="s">
        <v>654</v>
      </c>
      <c r="K98">
        <v>22</v>
      </c>
    </row>
    <row r="99" spans="1:26">
      <c r="A99">
        <v>438</v>
      </c>
      <c r="B99" s="79" t="s">
        <v>230</v>
      </c>
      <c r="C99" s="79" t="s">
        <v>1177</v>
      </c>
      <c r="D99" s="79" t="s">
        <v>1278</v>
      </c>
      <c r="E99">
        <v>1980</v>
      </c>
      <c r="F99" s="79" t="s">
        <v>21</v>
      </c>
      <c r="G99" s="79" t="s">
        <v>34</v>
      </c>
      <c r="H99" s="79" t="s">
        <v>231</v>
      </c>
      <c r="I99" t="s">
        <v>1143</v>
      </c>
      <c r="J99" t="s">
        <v>1143</v>
      </c>
      <c r="K99">
        <v>22</v>
      </c>
    </row>
    <row r="100" spans="1:26">
      <c r="A100">
        <v>439</v>
      </c>
      <c r="B100" s="79" t="s">
        <v>232</v>
      </c>
      <c r="C100" s="79" t="s">
        <v>1373</v>
      </c>
      <c r="D100" s="79" t="s">
        <v>1279</v>
      </c>
      <c r="E100">
        <v>1975</v>
      </c>
      <c r="F100" s="79" t="s">
        <v>21</v>
      </c>
      <c r="G100" s="79" t="s">
        <v>62</v>
      </c>
      <c r="H100" s="79" t="s">
        <v>61</v>
      </c>
      <c r="I100" t="s">
        <v>1143</v>
      </c>
      <c r="J100" t="s">
        <v>1143</v>
      </c>
      <c r="K100">
        <v>22</v>
      </c>
    </row>
    <row r="101" spans="1:26">
      <c r="A101">
        <v>440</v>
      </c>
      <c r="B101" s="79" t="s">
        <v>233</v>
      </c>
      <c r="C101" s="79" t="s">
        <v>1121</v>
      </c>
      <c r="D101" s="79" t="s">
        <v>1280</v>
      </c>
      <c r="E101">
        <v>1980</v>
      </c>
      <c r="F101" s="79" t="s">
        <v>19</v>
      </c>
      <c r="G101" s="79" t="s">
        <v>234</v>
      </c>
      <c r="H101" s="79" t="s">
        <v>121</v>
      </c>
      <c r="I101">
        <v>1180020741</v>
      </c>
      <c r="J101" t="s">
        <v>377</v>
      </c>
      <c r="K101">
        <v>22</v>
      </c>
      <c r="V101" s="82">
        <v>5</v>
      </c>
      <c r="W101" s="82">
        <v>4</v>
      </c>
      <c r="X101" s="82">
        <v>4.5</v>
      </c>
      <c r="Y101" s="82">
        <v>6</v>
      </c>
      <c r="Z101" s="82">
        <v>5.5</v>
      </c>
    </row>
    <row r="102" spans="1:26">
      <c r="A102">
        <v>441</v>
      </c>
      <c r="B102" s="79" t="s">
        <v>218</v>
      </c>
      <c r="C102" s="79" t="s">
        <v>1063</v>
      </c>
      <c r="D102" s="79" t="s">
        <v>1247</v>
      </c>
      <c r="E102">
        <v>1991</v>
      </c>
      <c r="F102" s="79" t="s">
        <v>19</v>
      </c>
      <c r="G102" s="79" t="s">
        <v>235</v>
      </c>
      <c r="H102" s="79" t="s">
        <v>100</v>
      </c>
      <c r="I102" t="s">
        <v>440</v>
      </c>
      <c r="J102" t="s">
        <v>327</v>
      </c>
      <c r="K102">
        <v>23</v>
      </c>
    </row>
    <row r="103" spans="1:26">
      <c r="A103">
        <v>442</v>
      </c>
      <c r="B103" s="79" t="s">
        <v>236</v>
      </c>
      <c r="C103" s="79" t="s">
        <v>1131</v>
      </c>
      <c r="D103" s="79" t="s">
        <v>1281</v>
      </c>
      <c r="E103">
        <v>1981</v>
      </c>
      <c r="F103" s="79" t="s">
        <v>21</v>
      </c>
      <c r="G103" s="79" t="s">
        <v>66</v>
      </c>
      <c r="H103" s="79" t="s">
        <v>121</v>
      </c>
      <c r="I103" t="s">
        <v>332</v>
      </c>
      <c r="J103" t="s">
        <v>327</v>
      </c>
      <c r="K103">
        <v>23</v>
      </c>
      <c r="V103" s="82">
        <v>5</v>
      </c>
      <c r="W103" s="82">
        <v>4</v>
      </c>
      <c r="X103" s="82">
        <v>5.5</v>
      </c>
      <c r="Y103" s="82">
        <v>6</v>
      </c>
      <c r="Z103" s="82">
        <v>5</v>
      </c>
    </row>
    <row r="104" spans="1:26">
      <c r="A104">
        <v>443</v>
      </c>
      <c r="B104" s="79" t="s">
        <v>237</v>
      </c>
      <c r="C104" s="79" t="s">
        <v>1130</v>
      </c>
      <c r="D104" s="79" t="s">
        <v>1261</v>
      </c>
      <c r="E104">
        <v>1984</v>
      </c>
      <c r="F104" s="79" t="s">
        <v>21</v>
      </c>
      <c r="G104" s="79" t="s">
        <v>238</v>
      </c>
      <c r="H104" s="79" t="s">
        <v>121</v>
      </c>
      <c r="I104" t="s">
        <v>345</v>
      </c>
      <c r="J104" t="s">
        <v>327</v>
      </c>
      <c r="K104">
        <v>23</v>
      </c>
      <c r="V104" s="82">
        <v>6</v>
      </c>
      <c r="W104" s="82">
        <v>5.5</v>
      </c>
      <c r="X104" s="82">
        <v>6.5</v>
      </c>
      <c r="Y104" s="82">
        <v>6.5</v>
      </c>
      <c r="Z104" s="82">
        <v>6</v>
      </c>
    </row>
    <row r="105" spans="1:26">
      <c r="A105">
        <v>444</v>
      </c>
      <c r="B105" s="79" t="s">
        <v>239</v>
      </c>
      <c r="C105" s="79" t="s">
        <v>1128</v>
      </c>
      <c r="D105" s="79" t="s">
        <v>1266</v>
      </c>
      <c r="E105">
        <v>1976</v>
      </c>
      <c r="F105" s="79" t="s">
        <v>21</v>
      </c>
      <c r="G105" s="79" t="s">
        <v>140</v>
      </c>
      <c r="H105" s="79" t="s">
        <v>61</v>
      </c>
      <c r="I105" t="s">
        <v>569</v>
      </c>
      <c r="J105" t="s">
        <v>327</v>
      </c>
      <c r="K105">
        <v>23</v>
      </c>
      <c r="V105" s="82">
        <v>5.5</v>
      </c>
      <c r="W105" s="82">
        <v>5</v>
      </c>
      <c r="X105" s="82">
        <v>6</v>
      </c>
      <c r="Y105" s="82">
        <v>6</v>
      </c>
      <c r="Z105" s="82">
        <v>5</v>
      </c>
    </row>
    <row r="106" spans="1:26">
      <c r="A106">
        <v>445</v>
      </c>
      <c r="B106" s="79" t="s">
        <v>193</v>
      </c>
      <c r="C106" s="79" t="s">
        <v>1053</v>
      </c>
      <c r="D106" s="79" t="s">
        <v>1271</v>
      </c>
      <c r="E106">
        <v>1984</v>
      </c>
      <c r="F106" s="79" t="s">
        <v>19</v>
      </c>
      <c r="G106" s="79" t="s">
        <v>240</v>
      </c>
      <c r="H106" s="79" t="s">
        <v>121</v>
      </c>
      <c r="I106" t="s">
        <v>422</v>
      </c>
      <c r="J106" t="s">
        <v>315</v>
      </c>
      <c r="K106">
        <v>23</v>
      </c>
    </row>
    <row r="107" spans="1:26">
      <c r="A107">
        <v>446</v>
      </c>
      <c r="B107" s="79" t="s">
        <v>241</v>
      </c>
      <c r="C107" s="79" t="s">
        <v>1179</v>
      </c>
      <c r="D107" s="79" t="s">
        <v>1264</v>
      </c>
      <c r="E107">
        <v>2000</v>
      </c>
      <c r="F107" s="79" t="s">
        <v>21</v>
      </c>
      <c r="G107" s="79" t="s">
        <v>242</v>
      </c>
      <c r="H107" s="79" t="s">
        <v>243</v>
      </c>
      <c r="I107" t="s">
        <v>391</v>
      </c>
      <c r="J107" t="s">
        <v>315</v>
      </c>
      <c r="K107">
        <v>23</v>
      </c>
    </row>
    <row r="108" spans="1:26">
      <c r="A108">
        <v>447</v>
      </c>
      <c r="B108" s="79" t="s">
        <v>244</v>
      </c>
      <c r="C108" s="79" t="s">
        <v>1180</v>
      </c>
      <c r="D108" s="79" t="s">
        <v>1282</v>
      </c>
      <c r="E108">
        <v>1983</v>
      </c>
      <c r="F108" s="79" t="s">
        <v>21</v>
      </c>
      <c r="G108" s="79" t="s">
        <v>245</v>
      </c>
      <c r="H108" s="79" t="s">
        <v>71</v>
      </c>
      <c r="I108" t="s">
        <v>374</v>
      </c>
      <c r="J108" t="s">
        <v>315</v>
      </c>
      <c r="K108">
        <v>23</v>
      </c>
    </row>
    <row r="109" spans="1:26">
      <c r="A109">
        <v>448</v>
      </c>
      <c r="B109" s="79" t="s">
        <v>246</v>
      </c>
      <c r="C109" s="79" t="s">
        <v>1129</v>
      </c>
      <c r="D109" s="79" t="s">
        <v>1271</v>
      </c>
      <c r="E109">
        <v>1978</v>
      </c>
      <c r="F109" s="79" t="s">
        <v>21</v>
      </c>
      <c r="G109" s="79" t="s">
        <v>143</v>
      </c>
      <c r="H109" s="79" t="s">
        <v>27</v>
      </c>
      <c r="I109" t="s">
        <v>457</v>
      </c>
      <c r="J109" t="s">
        <v>315</v>
      </c>
      <c r="K109">
        <v>23</v>
      </c>
      <c r="V109" s="82">
        <v>5.5</v>
      </c>
      <c r="W109" s="82">
        <v>4.5</v>
      </c>
      <c r="X109" s="82">
        <v>4.5</v>
      </c>
      <c r="Y109" s="82">
        <v>6.5</v>
      </c>
      <c r="Z109" s="82">
        <v>5.5</v>
      </c>
    </row>
    <row r="110" spans="1:26">
      <c r="A110">
        <v>449</v>
      </c>
      <c r="B110" s="79" t="s">
        <v>36</v>
      </c>
      <c r="C110" s="79" t="s">
        <v>1181</v>
      </c>
      <c r="D110" s="79" t="s">
        <v>1283</v>
      </c>
      <c r="E110">
        <v>1995</v>
      </c>
      <c r="F110" s="79" t="s">
        <v>30</v>
      </c>
      <c r="G110" s="79" t="s">
        <v>151</v>
      </c>
      <c r="H110" s="79" t="s">
        <v>81</v>
      </c>
      <c r="I110" t="s">
        <v>796</v>
      </c>
      <c r="J110" t="s">
        <v>654</v>
      </c>
      <c r="K110">
        <v>23</v>
      </c>
    </row>
    <row r="111" spans="1:26">
      <c r="A111">
        <v>450</v>
      </c>
      <c r="B111" s="79" t="s">
        <v>247</v>
      </c>
      <c r="C111" s="79" t="s">
        <v>1182</v>
      </c>
      <c r="D111" s="79" t="s">
        <v>1272</v>
      </c>
      <c r="E111">
        <v>1985</v>
      </c>
      <c r="F111" s="79" t="s">
        <v>30</v>
      </c>
      <c r="G111" s="79" t="s">
        <v>148</v>
      </c>
      <c r="H111" s="79" t="s">
        <v>149</v>
      </c>
      <c r="I111" t="s">
        <v>801</v>
      </c>
      <c r="J111" t="s">
        <v>327</v>
      </c>
      <c r="K111">
        <v>23</v>
      </c>
    </row>
    <row r="112" spans="1:26">
      <c r="A112">
        <v>451</v>
      </c>
      <c r="B112" s="79" t="s">
        <v>248</v>
      </c>
      <c r="C112" s="79" t="s">
        <v>1081</v>
      </c>
      <c r="D112" s="79" t="s">
        <v>1243</v>
      </c>
      <c r="E112">
        <v>1983</v>
      </c>
      <c r="F112" s="79" t="s">
        <v>30</v>
      </c>
      <c r="G112" s="79" t="s">
        <v>148</v>
      </c>
      <c r="H112" s="79" t="s">
        <v>149</v>
      </c>
      <c r="I112" t="s">
        <v>837</v>
      </c>
      <c r="J112" t="s">
        <v>654</v>
      </c>
      <c r="K112">
        <v>23</v>
      </c>
    </row>
    <row r="113" spans="1:26">
      <c r="A113">
        <v>452</v>
      </c>
      <c r="B113" s="79" t="s">
        <v>249</v>
      </c>
      <c r="C113" s="79" t="s">
        <v>1080</v>
      </c>
      <c r="D113" s="79" t="s">
        <v>1284</v>
      </c>
      <c r="E113">
        <v>1982</v>
      </c>
      <c r="F113" s="79" t="s">
        <v>30</v>
      </c>
      <c r="G113" s="79" t="s">
        <v>153</v>
      </c>
      <c r="H113" s="79" t="s">
        <v>76</v>
      </c>
      <c r="I113" t="s">
        <v>872</v>
      </c>
      <c r="J113" t="s">
        <v>654</v>
      </c>
      <c r="K113">
        <v>23</v>
      </c>
    </row>
    <row r="114" spans="1:26">
      <c r="A114">
        <v>453</v>
      </c>
      <c r="B114" s="79" t="s">
        <v>250</v>
      </c>
      <c r="C114" s="79" t="s">
        <v>1127</v>
      </c>
      <c r="D114" s="79" t="s">
        <v>1226</v>
      </c>
      <c r="E114">
        <v>1979</v>
      </c>
      <c r="F114" s="79" t="s">
        <v>30</v>
      </c>
      <c r="G114" s="79" t="s">
        <v>153</v>
      </c>
      <c r="H114" s="79" t="s">
        <v>76</v>
      </c>
      <c r="I114" t="s">
        <v>883</v>
      </c>
      <c r="J114" t="s">
        <v>377</v>
      </c>
      <c r="K114">
        <v>23</v>
      </c>
      <c r="V114" s="82">
        <v>5</v>
      </c>
      <c r="W114" s="82">
        <v>3.5</v>
      </c>
      <c r="X114" s="82">
        <v>6</v>
      </c>
      <c r="Y114" s="82">
        <v>5</v>
      </c>
      <c r="Z114" s="82">
        <v>5.5</v>
      </c>
    </row>
    <row r="115" spans="1:26">
      <c r="A115">
        <v>454</v>
      </c>
      <c r="B115" s="79" t="s">
        <v>251</v>
      </c>
      <c r="C115" s="79" t="s">
        <v>1124</v>
      </c>
      <c r="D115" s="79" t="s">
        <v>1285</v>
      </c>
      <c r="E115">
        <v>1978</v>
      </c>
      <c r="F115" s="79" t="s">
        <v>30</v>
      </c>
      <c r="G115" s="79" t="s">
        <v>151</v>
      </c>
      <c r="H115" s="79" t="s">
        <v>81</v>
      </c>
      <c r="I115" t="s">
        <v>983</v>
      </c>
      <c r="J115" t="s">
        <v>327</v>
      </c>
      <c r="K115">
        <v>23</v>
      </c>
      <c r="V115" s="82">
        <v>5.5</v>
      </c>
      <c r="W115" s="82">
        <v>5</v>
      </c>
      <c r="X115" s="82">
        <v>5.5</v>
      </c>
      <c r="Y115" s="82">
        <v>6</v>
      </c>
      <c r="Z115" s="82">
        <v>5</v>
      </c>
    </row>
    <row r="116" spans="1:26">
      <c r="A116">
        <v>455</v>
      </c>
      <c r="B116" s="79" t="s">
        <v>252</v>
      </c>
      <c r="C116" s="79" t="s">
        <v>1125</v>
      </c>
      <c r="D116" s="79" t="s">
        <v>1246</v>
      </c>
      <c r="E116">
        <v>1976</v>
      </c>
      <c r="F116" s="79" t="s">
        <v>30</v>
      </c>
      <c r="G116" s="79" t="s">
        <v>151</v>
      </c>
      <c r="H116" s="79" t="s">
        <v>81</v>
      </c>
      <c r="I116" t="s">
        <v>1213</v>
      </c>
      <c r="J116" t="s">
        <v>327</v>
      </c>
      <c r="K116">
        <v>23</v>
      </c>
      <c r="V116" s="82">
        <v>6.5</v>
      </c>
      <c r="W116" s="82">
        <v>5.5</v>
      </c>
      <c r="X116" s="82">
        <v>6.5</v>
      </c>
      <c r="Y116" s="82">
        <v>7</v>
      </c>
      <c r="Z116" s="82">
        <v>6</v>
      </c>
    </row>
    <row r="117" spans="1:26">
      <c r="A117">
        <v>456</v>
      </c>
      <c r="B117" s="79" t="s">
        <v>253</v>
      </c>
      <c r="C117" s="79" t="s">
        <v>1126</v>
      </c>
      <c r="D117" s="79" t="s">
        <v>1254</v>
      </c>
      <c r="E117">
        <v>1976</v>
      </c>
      <c r="F117" s="79" t="s">
        <v>30</v>
      </c>
      <c r="G117" s="79" t="s">
        <v>153</v>
      </c>
      <c r="H117" s="79" t="s">
        <v>76</v>
      </c>
      <c r="I117" t="s">
        <v>1002</v>
      </c>
      <c r="J117" t="s">
        <v>394</v>
      </c>
      <c r="K117">
        <v>23</v>
      </c>
      <c r="V117" s="82">
        <v>5</v>
      </c>
      <c r="W117" s="82">
        <v>3.5</v>
      </c>
      <c r="X117" s="82">
        <v>5.5</v>
      </c>
      <c r="Y117" s="82">
        <v>6</v>
      </c>
      <c r="Z117" s="82">
        <v>5.5</v>
      </c>
    </row>
    <row r="118" spans="1:26">
      <c r="A118">
        <v>457</v>
      </c>
      <c r="B118" s="79" t="s">
        <v>254</v>
      </c>
      <c r="C118" s="79" t="s">
        <v>1183</v>
      </c>
      <c r="D118" s="79" t="s">
        <v>1224</v>
      </c>
      <c r="E118">
        <v>1975</v>
      </c>
      <c r="F118" s="79" t="s">
        <v>30</v>
      </c>
      <c r="G118" s="79" t="s">
        <v>255</v>
      </c>
      <c r="H118" s="79" t="s">
        <v>81</v>
      </c>
      <c r="I118">
        <v>1175028245</v>
      </c>
      <c r="J118" t="s">
        <v>1190</v>
      </c>
      <c r="K118">
        <v>23</v>
      </c>
    </row>
    <row r="119" spans="1:26">
      <c r="A119">
        <v>458</v>
      </c>
      <c r="B119" s="79" t="s">
        <v>256</v>
      </c>
      <c r="C119" s="79" t="s">
        <v>1082</v>
      </c>
      <c r="D119" s="79" t="s">
        <v>1286</v>
      </c>
      <c r="E119">
        <v>1995</v>
      </c>
      <c r="F119" s="79" t="s">
        <v>21</v>
      </c>
      <c r="G119" s="79" t="s">
        <v>257</v>
      </c>
      <c r="H119" s="79" t="s">
        <v>157</v>
      </c>
      <c r="I119">
        <v>1195004906</v>
      </c>
      <c r="J119" t="s">
        <v>394</v>
      </c>
      <c r="K119">
        <v>23</v>
      </c>
    </row>
    <row r="120" spans="1:26">
      <c r="A120">
        <v>459</v>
      </c>
      <c r="B120" s="79" t="s">
        <v>176</v>
      </c>
      <c r="C120" s="79" t="s">
        <v>1160</v>
      </c>
      <c r="D120" s="79" t="s">
        <v>1244</v>
      </c>
      <c r="E120">
        <v>1975</v>
      </c>
      <c r="F120" s="79" t="s">
        <v>21</v>
      </c>
      <c r="G120" s="79" t="s">
        <v>258</v>
      </c>
      <c r="H120" s="79" t="s">
        <v>157</v>
      </c>
      <c r="I120" t="s">
        <v>1143</v>
      </c>
      <c r="J120" t="s">
        <v>1143</v>
      </c>
      <c r="K120">
        <v>23</v>
      </c>
    </row>
    <row r="121" spans="1:26">
      <c r="A121">
        <v>460</v>
      </c>
      <c r="B121" s="79" t="s">
        <v>259</v>
      </c>
      <c r="C121" s="79" t="s">
        <v>1058</v>
      </c>
      <c r="D121" s="79" t="s">
        <v>1227</v>
      </c>
      <c r="E121">
        <v>1983</v>
      </c>
      <c r="F121" s="79" t="s">
        <v>19</v>
      </c>
      <c r="G121" s="79" t="s">
        <v>260</v>
      </c>
      <c r="H121" s="79" t="s">
        <v>261</v>
      </c>
      <c r="I121">
        <v>1183053186</v>
      </c>
      <c r="J121" t="s">
        <v>654</v>
      </c>
      <c r="K121">
        <v>23</v>
      </c>
    </row>
    <row r="122" spans="1:26">
      <c r="A122">
        <v>482</v>
      </c>
      <c r="B122" s="79" t="s">
        <v>262</v>
      </c>
      <c r="C122" s="79" t="s">
        <v>1099</v>
      </c>
      <c r="D122" s="79" t="s">
        <v>1246</v>
      </c>
      <c r="E122">
        <v>1984</v>
      </c>
      <c r="F122" s="79" t="s">
        <v>30</v>
      </c>
      <c r="G122" s="79" t="s">
        <v>113</v>
      </c>
      <c r="H122" s="79" t="s">
        <v>114</v>
      </c>
      <c r="I122" t="s">
        <v>362</v>
      </c>
      <c r="J122" t="s">
        <v>358</v>
      </c>
      <c r="K122">
        <v>24</v>
      </c>
      <c r="V122" s="82">
        <v>6</v>
      </c>
      <c r="W122" s="82">
        <v>5</v>
      </c>
      <c r="X122" s="82">
        <v>6</v>
      </c>
      <c r="Y122" s="82">
        <v>6</v>
      </c>
      <c r="Z122" s="82">
        <v>6</v>
      </c>
    </row>
    <row r="123" spans="1:26">
      <c r="A123">
        <v>462</v>
      </c>
      <c r="B123" s="79" t="s">
        <v>263</v>
      </c>
      <c r="C123" s="79" t="s">
        <v>1046</v>
      </c>
      <c r="D123" s="79" t="s">
        <v>1247</v>
      </c>
      <c r="E123">
        <v>1977</v>
      </c>
      <c r="F123" s="79" t="s">
        <v>21</v>
      </c>
      <c r="G123" s="79" t="s">
        <v>264</v>
      </c>
      <c r="H123" s="79" t="s">
        <v>149</v>
      </c>
      <c r="I123" t="s">
        <v>528</v>
      </c>
      <c r="J123" t="s">
        <v>394</v>
      </c>
      <c r="K123">
        <v>24</v>
      </c>
    </row>
    <row r="124" spans="1:26">
      <c r="A124">
        <v>463</v>
      </c>
      <c r="B124" s="79" t="s">
        <v>265</v>
      </c>
      <c r="C124" s="79" t="s">
        <v>1184</v>
      </c>
      <c r="D124" s="79" t="s">
        <v>1263</v>
      </c>
      <c r="E124">
        <v>1989</v>
      </c>
      <c r="F124" s="79" t="s">
        <v>19</v>
      </c>
      <c r="G124" s="79" t="s">
        <v>266</v>
      </c>
      <c r="H124" s="79" t="s">
        <v>81</v>
      </c>
      <c r="I124" t="s">
        <v>503</v>
      </c>
      <c r="J124" t="s">
        <v>327</v>
      </c>
      <c r="K124">
        <v>24</v>
      </c>
    </row>
    <row r="125" spans="1:26">
      <c r="A125">
        <v>464</v>
      </c>
      <c r="B125" s="79" t="s">
        <v>267</v>
      </c>
      <c r="C125" s="79" t="s">
        <v>1049</v>
      </c>
      <c r="D125" s="79" t="s">
        <v>1287</v>
      </c>
      <c r="E125">
        <v>1979</v>
      </c>
      <c r="F125" s="79" t="s">
        <v>21</v>
      </c>
      <c r="G125" s="79" t="s">
        <v>35</v>
      </c>
      <c r="H125" s="79" t="s">
        <v>81</v>
      </c>
      <c r="I125" t="s">
        <v>580</v>
      </c>
      <c r="J125" t="s">
        <v>394</v>
      </c>
      <c r="K125">
        <v>24</v>
      </c>
    </row>
    <row r="126" spans="1:26">
      <c r="A126">
        <v>465</v>
      </c>
      <c r="B126" s="79" t="s">
        <v>268</v>
      </c>
      <c r="C126" s="79" t="s">
        <v>1374</v>
      </c>
      <c r="D126" s="79" t="s">
        <v>1240</v>
      </c>
      <c r="E126">
        <v>1975</v>
      </c>
      <c r="F126" s="79" t="s">
        <v>21</v>
      </c>
      <c r="G126" s="79" t="s">
        <v>171</v>
      </c>
      <c r="H126" s="79" t="s">
        <v>81</v>
      </c>
      <c r="I126" t="s">
        <v>508</v>
      </c>
      <c r="J126" t="s">
        <v>327</v>
      </c>
      <c r="K126">
        <v>24</v>
      </c>
    </row>
    <row r="127" spans="1:26">
      <c r="A127">
        <v>466</v>
      </c>
      <c r="B127" s="79" t="s">
        <v>269</v>
      </c>
      <c r="C127" s="79" t="s">
        <v>1078</v>
      </c>
      <c r="D127" s="79" t="s">
        <v>1216</v>
      </c>
      <c r="E127">
        <v>1988</v>
      </c>
      <c r="F127" s="79" t="s">
        <v>21</v>
      </c>
      <c r="G127" s="79" t="s">
        <v>270</v>
      </c>
      <c r="H127" s="79" t="s">
        <v>81</v>
      </c>
      <c r="I127" t="s">
        <v>339</v>
      </c>
      <c r="J127" t="s">
        <v>315</v>
      </c>
      <c r="K127">
        <v>24</v>
      </c>
    </row>
    <row r="128" spans="1:26">
      <c r="A128">
        <v>467</v>
      </c>
      <c r="B128" s="79" t="s">
        <v>271</v>
      </c>
      <c r="C128" s="79" t="s">
        <v>1185</v>
      </c>
      <c r="D128" s="79" t="s">
        <v>1238</v>
      </c>
      <c r="E128">
        <v>1978</v>
      </c>
      <c r="F128" s="79" t="s">
        <v>30</v>
      </c>
      <c r="G128" s="79" t="s">
        <v>33</v>
      </c>
      <c r="H128" s="79" t="s">
        <v>272</v>
      </c>
      <c r="I128" t="s">
        <v>745</v>
      </c>
      <c r="J128" t="s">
        <v>315</v>
      </c>
      <c r="K128">
        <v>24</v>
      </c>
      <c r="V128" s="82">
        <v>5.5</v>
      </c>
      <c r="W128" s="82">
        <v>5</v>
      </c>
      <c r="X128" s="82">
        <v>6</v>
      </c>
      <c r="Y128" s="82">
        <v>6</v>
      </c>
      <c r="Z128" s="82">
        <v>5.5</v>
      </c>
    </row>
    <row r="129" spans="1:26">
      <c r="A129">
        <v>468</v>
      </c>
      <c r="B129" s="79" t="s">
        <v>273</v>
      </c>
      <c r="C129" s="79" t="s">
        <v>1052</v>
      </c>
      <c r="D129" s="79" t="s">
        <v>1271</v>
      </c>
      <c r="E129">
        <v>1979</v>
      </c>
      <c r="F129" s="79" t="s">
        <v>19</v>
      </c>
      <c r="G129" s="79" t="s">
        <v>274</v>
      </c>
      <c r="H129" s="79" t="s">
        <v>94</v>
      </c>
      <c r="I129" t="s">
        <v>761</v>
      </c>
      <c r="J129" t="s">
        <v>654</v>
      </c>
      <c r="K129">
        <v>24</v>
      </c>
    </row>
    <row r="130" spans="1:26">
      <c r="A130">
        <v>469</v>
      </c>
      <c r="B130" s="79" t="s">
        <v>275</v>
      </c>
      <c r="C130" s="79" t="s">
        <v>1062</v>
      </c>
      <c r="D130" s="79" t="s">
        <v>1288</v>
      </c>
      <c r="E130">
        <v>1992</v>
      </c>
      <c r="F130" s="79" t="s">
        <v>21</v>
      </c>
      <c r="G130" s="79" t="s">
        <v>104</v>
      </c>
      <c r="H130" s="79" t="s">
        <v>20</v>
      </c>
      <c r="I130" t="s">
        <v>769</v>
      </c>
      <c r="J130" t="s">
        <v>315</v>
      </c>
      <c r="K130">
        <v>24</v>
      </c>
    </row>
    <row r="131" spans="1:26">
      <c r="A131">
        <v>470</v>
      </c>
      <c r="B131" s="79" t="s">
        <v>276</v>
      </c>
      <c r="C131" s="79" t="s">
        <v>1137</v>
      </c>
      <c r="D131" s="79" t="s">
        <v>1233</v>
      </c>
      <c r="E131">
        <v>1984</v>
      </c>
      <c r="F131" s="79" t="s">
        <v>21</v>
      </c>
      <c r="G131" s="79" t="s">
        <v>38</v>
      </c>
      <c r="H131" s="79" t="s">
        <v>20</v>
      </c>
      <c r="I131" t="s">
        <v>790</v>
      </c>
      <c r="J131" t="s">
        <v>377</v>
      </c>
      <c r="K131">
        <v>24</v>
      </c>
      <c r="V131" s="82">
        <v>5.5</v>
      </c>
      <c r="W131" s="82">
        <v>5</v>
      </c>
      <c r="X131" s="82">
        <v>5.5</v>
      </c>
      <c r="Y131" s="82">
        <v>6</v>
      </c>
      <c r="Z131" s="82">
        <v>5.5</v>
      </c>
    </row>
    <row r="132" spans="1:26">
      <c r="A132">
        <v>471</v>
      </c>
      <c r="B132" s="79" t="s">
        <v>277</v>
      </c>
      <c r="C132" s="79" t="s">
        <v>1186</v>
      </c>
      <c r="D132" s="79" t="s">
        <v>1289</v>
      </c>
      <c r="E132">
        <v>1982</v>
      </c>
      <c r="F132" s="79" t="s">
        <v>21</v>
      </c>
      <c r="G132" s="79" t="s">
        <v>22</v>
      </c>
      <c r="H132" s="79" t="s">
        <v>94</v>
      </c>
      <c r="I132" t="s">
        <v>808</v>
      </c>
      <c r="J132" t="s">
        <v>327</v>
      </c>
      <c r="K132">
        <v>24</v>
      </c>
    </row>
    <row r="133" spans="1:26">
      <c r="A133">
        <v>472</v>
      </c>
      <c r="B133" s="79" t="s">
        <v>278</v>
      </c>
      <c r="C133" s="79" t="s">
        <v>1134</v>
      </c>
      <c r="D133" s="79" t="s">
        <v>1233</v>
      </c>
      <c r="E133">
        <v>1980</v>
      </c>
      <c r="F133" s="79" t="s">
        <v>21</v>
      </c>
      <c r="G133" s="79" t="s">
        <v>43</v>
      </c>
      <c r="H133" s="79" t="s">
        <v>20</v>
      </c>
      <c r="I133" t="s">
        <v>864</v>
      </c>
      <c r="J133" t="s">
        <v>394</v>
      </c>
      <c r="K133">
        <v>24</v>
      </c>
      <c r="V133" s="82">
        <v>6</v>
      </c>
      <c r="W133" s="82">
        <v>5</v>
      </c>
      <c r="X133" s="82">
        <v>6.5</v>
      </c>
      <c r="Y133" s="82">
        <v>6</v>
      </c>
      <c r="Z133" s="82">
        <v>6</v>
      </c>
    </row>
    <row r="134" spans="1:26">
      <c r="A134">
        <v>473</v>
      </c>
      <c r="B134" s="79" t="s">
        <v>194</v>
      </c>
      <c r="C134" s="79" t="s">
        <v>1118</v>
      </c>
      <c r="D134" s="79" t="s">
        <v>1238</v>
      </c>
      <c r="E134">
        <v>1979</v>
      </c>
      <c r="F134" s="79" t="s">
        <v>21</v>
      </c>
      <c r="G134" s="79" t="s">
        <v>47</v>
      </c>
      <c r="H134" s="79" t="s">
        <v>20</v>
      </c>
      <c r="I134" t="s">
        <v>969</v>
      </c>
      <c r="J134" t="s">
        <v>394</v>
      </c>
      <c r="K134">
        <v>24</v>
      </c>
      <c r="V134" s="82">
        <v>5</v>
      </c>
      <c r="W134" s="82">
        <v>4</v>
      </c>
      <c r="X134" s="82">
        <v>5.5</v>
      </c>
      <c r="Y134" s="82">
        <v>6</v>
      </c>
      <c r="Z134" s="82">
        <v>5</v>
      </c>
    </row>
    <row r="135" spans="1:26">
      <c r="A135">
        <v>474</v>
      </c>
      <c r="B135" s="79" t="s">
        <v>279</v>
      </c>
      <c r="C135" s="79" t="s">
        <v>1187</v>
      </c>
      <c r="D135" s="79" t="s">
        <v>1290</v>
      </c>
      <c r="E135">
        <v>1977</v>
      </c>
      <c r="F135" s="79" t="s">
        <v>21</v>
      </c>
      <c r="G135" s="79" t="s">
        <v>24</v>
      </c>
      <c r="H135" s="79" t="s">
        <v>210</v>
      </c>
      <c r="I135">
        <v>1177009345</v>
      </c>
      <c r="J135" t="s">
        <v>315</v>
      </c>
      <c r="K135">
        <v>24</v>
      </c>
      <c r="V135" s="82">
        <v>5.5</v>
      </c>
      <c r="W135" s="82">
        <v>4.5</v>
      </c>
      <c r="X135" s="82">
        <v>5.5</v>
      </c>
      <c r="Y135" s="82">
        <v>6</v>
      </c>
      <c r="Z135" s="82">
        <v>6</v>
      </c>
    </row>
    <row r="136" spans="1:26">
      <c r="A136">
        <v>475</v>
      </c>
      <c r="B136" s="79" t="s">
        <v>280</v>
      </c>
      <c r="C136" s="79" t="s">
        <v>1054</v>
      </c>
      <c r="D136" s="79" t="s">
        <v>1247</v>
      </c>
      <c r="E136">
        <v>1979</v>
      </c>
      <c r="F136" s="79" t="s">
        <v>30</v>
      </c>
      <c r="G136" s="79" t="s">
        <v>107</v>
      </c>
      <c r="H136" s="79" t="s">
        <v>100</v>
      </c>
      <c r="I136">
        <v>1179014240</v>
      </c>
      <c r="J136" t="s">
        <v>327</v>
      </c>
      <c r="K136">
        <v>24</v>
      </c>
    </row>
    <row r="137" spans="1:26">
      <c r="A137">
        <v>476</v>
      </c>
      <c r="B137" s="79" t="s">
        <v>281</v>
      </c>
      <c r="C137" s="79" t="s">
        <v>1188</v>
      </c>
      <c r="D137" s="79" t="s">
        <v>1282</v>
      </c>
      <c r="E137">
        <v>1978</v>
      </c>
      <c r="F137" s="79" t="s">
        <v>30</v>
      </c>
      <c r="G137" s="79" t="s">
        <v>282</v>
      </c>
      <c r="H137" s="79" t="s">
        <v>283</v>
      </c>
      <c r="I137" t="s">
        <v>1143</v>
      </c>
      <c r="J137" t="s">
        <v>1143</v>
      </c>
      <c r="K137">
        <v>24</v>
      </c>
    </row>
    <row r="138" spans="1:26">
      <c r="A138">
        <v>477</v>
      </c>
      <c r="B138" s="79" t="s">
        <v>128</v>
      </c>
      <c r="C138" s="79" t="s">
        <v>1149</v>
      </c>
      <c r="D138" s="79" t="s">
        <v>1230</v>
      </c>
      <c r="E138">
        <v>1982</v>
      </c>
      <c r="F138" s="79" t="s">
        <v>30</v>
      </c>
      <c r="G138" s="79" t="s">
        <v>110</v>
      </c>
      <c r="H138" s="79" t="s">
        <v>100</v>
      </c>
      <c r="I138">
        <v>1182033283</v>
      </c>
      <c r="J138" t="s">
        <v>358</v>
      </c>
      <c r="K138">
        <v>24</v>
      </c>
    </row>
    <row r="139" spans="1:26">
      <c r="A139">
        <v>478</v>
      </c>
      <c r="B139" s="79" t="s">
        <v>284</v>
      </c>
      <c r="C139" s="79" t="s">
        <v>1133</v>
      </c>
      <c r="D139" s="79" t="s">
        <v>1253</v>
      </c>
      <c r="E139">
        <v>1978</v>
      </c>
      <c r="F139" s="79" t="s">
        <v>30</v>
      </c>
      <c r="G139" s="79" t="s">
        <v>110</v>
      </c>
      <c r="H139" s="79" t="s">
        <v>100</v>
      </c>
      <c r="I139">
        <v>1178003953</v>
      </c>
      <c r="J139" t="s">
        <v>327</v>
      </c>
      <c r="K139">
        <v>24</v>
      </c>
      <c r="V139" s="82">
        <v>6.5</v>
      </c>
      <c r="W139" s="82">
        <v>5.5</v>
      </c>
      <c r="X139" s="82">
        <v>8.5</v>
      </c>
      <c r="Y139" s="82">
        <v>6.5</v>
      </c>
      <c r="Z139" s="82">
        <v>5.5</v>
      </c>
    </row>
    <row r="140" spans="1:26">
      <c r="A140">
        <v>479</v>
      </c>
      <c r="B140" s="79" t="s">
        <v>285</v>
      </c>
      <c r="C140" s="79" t="s">
        <v>1048</v>
      </c>
      <c r="D140" s="79" t="s">
        <v>1256</v>
      </c>
      <c r="E140">
        <v>1992</v>
      </c>
      <c r="F140" s="79" t="s">
        <v>19</v>
      </c>
      <c r="G140" s="79" t="s">
        <v>286</v>
      </c>
      <c r="H140" s="79" t="s">
        <v>39</v>
      </c>
      <c r="I140">
        <v>1192033920</v>
      </c>
      <c r="J140" t="s">
        <v>654</v>
      </c>
      <c r="K140">
        <v>24</v>
      </c>
    </row>
    <row r="141" spans="1:26">
      <c r="A141">
        <v>480</v>
      </c>
      <c r="B141" s="79" t="s">
        <v>287</v>
      </c>
      <c r="C141" s="79" t="s">
        <v>1136</v>
      </c>
      <c r="D141" s="79" t="s">
        <v>1214</v>
      </c>
      <c r="E141">
        <v>1986</v>
      </c>
      <c r="F141" s="79" t="s">
        <v>30</v>
      </c>
      <c r="G141" s="79" t="s">
        <v>46</v>
      </c>
      <c r="H141" s="79" t="s">
        <v>59</v>
      </c>
      <c r="I141">
        <v>1186019155</v>
      </c>
      <c r="J141" t="s">
        <v>327</v>
      </c>
      <c r="K141">
        <v>24</v>
      </c>
      <c r="V141" s="82">
        <v>5</v>
      </c>
      <c r="W141" s="82">
        <v>4</v>
      </c>
      <c r="X141" s="82">
        <v>6</v>
      </c>
      <c r="Y141" s="82">
        <v>6</v>
      </c>
      <c r="Z141" s="82">
        <v>4.5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4D29E7-E6F3-4949-B62E-0F8D1C9C03F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5ab456e-4977-4d47-8e18-408d2e73b813}" enabled="1" method="Privileged" siteId="{2b931bbb-a7e2-453c-98f9-554f1ac0414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7</vt:i4>
      </vt:variant>
    </vt:vector>
  </HeadingPairs>
  <TitlesOfParts>
    <vt:vector size="30" baseType="lpstr">
      <vt:lpstr>18</vt:lpstr>
      <vt:lpstr>19</vt:lpstr>
      <vt:lpstr>20</vt:lpstr>
      <vt:lpstr>21</vt:lpstr>
      <vt:lpstr>22</vt:lpstr>
      <vt:lpstr>23</vt:lpstr>
      <vt:lpstr>24</vt:lpstr>
      <vt:lpstr>Summary</vt:lpstr>
      <vt:lpstr>Total</vt:lpstr>
      <vt:lpstr>Final</vt:lpstr>
      <vt:lpstr>Scrores</vt:lpstr>
      <vt:lpstr>DSTG</vt:lpstr>
      <vt:lpstr>DSTM</vt:lpstr>
      <vt:lpstr>Merge18</vt:lpstr>
      <vt:lpstr>Merge19</vt:lpstr>
      <vt:lpstr>Merge20</vt:lpstr>
      <vt:lpstr>Merge21</vt:lpstr>
      <vt:lpstr>Merge22</vt:lpstr>
      <vt:lpstr>Merge23</vt:lpstr>
      <vt:lpstr>Merge24</vt:lpstr>
      <vt:lpstr>TableScrores</vt:lpstr>
      <vt:lpstr>TableFinal</vt:lpstr>
      <vt:lpstr>Result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Lan</dc:creator>
  <cp:lastModifiedBy>Ho Minh Sang</cp:lastModifiedBy>
  <cp:lastPrinted>2024-12-28T08:33:52Z</cp:lastPrinted>
  <dcterms:created xsi:type="dcterms:W3CDTF">2023-11-28T03:24:00Z</dcterms:created>
  <dcterms:modified xsi:type="dcterms:W3CDTF">2025-12-13T08:19:27Z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F1B46713DF5B4FF3A1D775FC178C690E_12</vt:lpwstr>
  </property>
  <property fmtid="{D5CDD505-2E9C-101B-9397-08002B2CF9AE}" pid="3" name="KSOProductBuildVer">
    <vt:lpwstr>1033-12.2.0.18283</vt:lpwstr>
  </property>
</Properties>
</file>